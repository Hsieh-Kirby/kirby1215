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6da13382f943dd" /></Relationships>
</file>

<file path=xl/workbook.xml><?xml version="1.0" encoding="utf-8"?>
<x:workbook xmlns:x="http://schemas.openxmlformats.org/spreadsheetml/2006/main">
  <x:sheets>
    <x:sheet xmlns:r="http://schemas.openxmlformats.org/officeDocument/2006/relationships" name="文章選擇" sheetId="1" r:id="R01b37e8bfd8c4fe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8">
    <x:font>
      <x:sz val="11"/>
      <x:name val="Carlito"/>
    </x:font>
    <x:font>
      <x:b/>
      <x:sz val="16"/>
      <x:color rgb="FF17324D"/>
      <x:name val="Arial"/>
    </x:font>
    <x:font>
      <x:i/>
      <x:sz val="10"/>
      <x:color rgb="FF5B6573"/>
      <x:name val="Arial"/>
    </x:font>
    <x:font>
      <x:b/>
      <x:sz val="10"/>
      <x:color rgb="FF17324D"/>
      <x:name val="Arial"/>
    </x:font>
    <x:font>
      <x:b/>
      <x:sz val="10"/>
      <x:color rgb="FFFFFFFF"/>
      <x:name val="Arial"/>
    </x:font>
    <x:font>
      <x:u val="single"/>
      <x:sz val="10"/>
      <x:color rgb="FF0563C1"/>
      <x:name val="Arial"/>
    </x:font>
    <x:font>
      <x:sz val="10"/>
      <x:color rgb="FF263238"/>
      <x:name val="Arial"/>
    </x:font>
    <x:font>
      <x:u val="single"/>
      <x:sz val="10"/>
      <x:color rgb="FF263238"/>
      <x:name val="Arial"/>
    </x:font>
  </x:fonts>
  <x:fills count="5">
    <x:fill>
      <x:patternFill patternType="none"/>
    </x:fill>
    <x:fill>
      <x:patternFill patternType="gray125"/>
    </x:fill>
    <x:fill>
      <x:patternFill patternType="solid">
        <x:fgColor rgb="FFEAF0F5"/>
      </x:patternFill>
    </x:fill>
    <x:fill>
      <x:patternFill patternType="solid">
        <x:fgColor rgb="FF355C7D"/>
      </x:patternFill>
    </x:fill>
    <x:fill>
      <x:patternFill patternType="solid">
        <x:fgColor rgb="FFFFF2CC"/>
      </x:patternFill>
    </x:fill>
  </x:fills>
  <x:borders count="9">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style="thin">
        <x:color rgb="FFFFFFFF"/>
      </x:right>
      <x:top/>
      <x:bottom style="thin">
        <x:color rgb="FFDCE3E8"/>
      </x:bottom>
      <x:diagonal/>
    </x:border>
    <x:border>
      <x:left style="thin">
        <x:color rgb="FFFFFFFF"/>
      </x:left>
      <x:right style="thin">
        <x:color rgb="FFFFFFFF"/>
      </x:right>
      <x:top/>
      <x:bottom style="thin">
        <x:color rgb="FFDCE3E8"/>
      </x:bottom>
      <x:diagonal/>
    </x:border>
    <x:border>
      <x:left style="thin">
        <x:color rgb="FFFFFFFF"/>
      </x:left>
      <x:right/>
      <x:top/>
      <x:bottom style="thin">
        <x:color rgb="FFDCE3E8"/>
      </x:bottom>
      <x:diagonal/>
    </x:border>
    <x:border>
      <x:left/>
      <x:right/>
      <x:top style="thin">
        <x:color rgb="FFDCE3E8"/>
      </x:top>
      <x:bottom style="thin">
        <x:color rgb="FFDCE3E8"/>
      </x:bottom>
      <x:diagonal/>
    </x:border>
    <x:border>
      <x:left/>
      <x:right/>
      <x:top style="thin">
        <x:color rgb="FFDCE3E8"/>
      </x:top>
      <x:bottom style="thin">
        <x:color rgb="FF9EADB8"/>
      </x:bottom>
      <x:diagonal/>
    </x:border>
  </x:borders>
  <x:cellStyleXfs count="1">
    <x:xf numFmtId="0" fontId="0" fillId="0" borderId="0"/>
  </x:cellStyleXfs>
  <x:cellXfs count="42">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1" xfId="0" applyNumberFormat="1" applyFont="1" applyFill="1" applyBorder="1" applyAlignment="1">
      <x:alignment horizontal="center"/>
    </x:xf>
    <x:xf numFmtId="0" fontId="4" fillId="3" borderId="2" xfId="0" applyNumberFormat="1" applyFont="1" applyFill="1" applyBorder="1" applyAlignment="1">
      <x:alignment horizontal="center"/>
    </x:xf>
    <x:xf numFmtId="0" fontId="4" fillId="3" borderId="3" xfId="0" applyNumberFormat="1" applyFont="1" applyFill="1" applyBorder="1" applyAlignment="1">
      <x:alignment horizontal="center"/>
    </x:xf>
    <x:xf numFmtId="0" fontId="4" fillId="3" borderId="1" xfId="0" applyNumberFormat="1" applyFont="1" applyFill="1" applyBorder="1" applyAlignment="1">
      <x:alignment horizontal="center" vertical="center"/>
    </x:xf>
    <x:xf numFmtId="0" fontId="4" fillId="3" borderId="2" xfId="0" applyNumberFormat="1" applyFont="1" applyFill="1" applyBorder="1" applyAlignment="1">
      <x:alignment horizontal="center" vertical="center"/>
    </x:xf>
    <x:xf numFmtId="0" fontId="4" fillId="3" borderId="3" xfId="0" applyNumberFormat="1" applyFont="1" applyFill="1" applyBorder="1" applyAlignment="1">
      <x:alignment horizontal="center" vertical="center"/>
    </x:xf>
    <x:xf numFmtId="0" fontId="5" fillId="0" borderId="0" xfId="0" applyNumberFormat="1" applyFont="1" applyFill="1" applyBorder="1"/>
    <x:xf numFmtId="0" fontId="6" fillId="0" borderId="0" xfId="0" applyNumberFormat="1" applyFont="1" applyFill="1" applyBorder="1"/>
    <x:xf numFmtId="0" fontId="7" fillId="0" borderId="0" xfId="0" applyNumberFormat="1" applyFont="1" applyFill="1" applyBorder="1"/>
    <x:xf numFmtId="0" fontId="6" fillId="0" borderId="0" xfId="0" applyNumberFormat="1" applyFont="1" applyFill="1" applyBorder="1" applyAlignment="1">
      <x:alignment vertical="top"/>
    </x:xf>
    <x:xf numFmtId="0" fontId="7" fillId="0" borderId="0" xfId="0" applyNumberFormat="1" applyFont="1" applyFill="1" applyBorder="1" applyAlignment="1">
      <x:alignment vertical="top"/>
    </x:xf>
    <x:xf numFmtId="0" fontId="6" fillId="4"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horizontal="center" vertical="top"/>
    </x:xf>
    <x:xf numFmtId="0" fontId="6" fillId="4" borderId="0" xfId="0" applyNumberFormat="1" applyFont="1" applyFill="1" applyBorder="1" applyAlignment="1">
      <x:alignment horizontal="center" vertical="top"/>
    </x:xf>
    <x:xf numFmtId="0" fontId="6" fillId="0"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4" fillId="3" borderId="4" xfId="0" applyNumberFormat="1" applyFont="1" applyFill="1" applyBorder="1" applyAlignment="1">
      <x:alignment horizontal="center" vertical="center"/>
    </x:xf>
    <x:xf numFmtId="0" fontId="4" fillId="3" borderId="5" xfId="0" applyNumberFormat="1" applyFont="1" applyFill="1" applyBorder="1" applyAlignment="1">
      <x:alignment horizontal="center" vertical="center"/>
    </x:xf>
    <x:xf numFmtId="0" fontId="4" fillId="3" borderId="6" xfId="0" applyNumberFormat="1" applyFont="1" applyFill="1" applyBorder="1" applyAlignment="1">
      <x:alignment horizontal="center" vertical="center"/>
    </x:xf>
    <x:xf numFmtId="0" fontId="6" fillId="0" borderId="7" xfId="0" applyNumberFormat="1" applyFont="1" applyFill="1" applyBorder="1" applyAlignment="1">
      <x:alignment horizontal="center" vertical="top"/>
    </x:xf>
    <x:xf numFmtId="0" fontId="6" fillId="0" borderId="7" xfId="0" applyNumberFormat="1" applyFont="1" applyFill="1" applyBorder="1" applyAlignment="1">
      <x:alignment horizontal="center" vertical="top" wrapText="1"/>
    </x:xf>
    <x:xf numFmtId="0" fontId="6" fillId="0" borderId="7" xfId="0" applyNumberFormat="1" applyFont="1" applyFill="1" applyBorder="1" applyAlignment="1">
      <x:alignment vertical="top" wrapText="1"/>
    </x:xf>
    <x:xf numFmtId="0" fontId="6" fillId="4" borderId="7" xfId="0" applyNumberFormat="1" applyFont="1" applyFill="1" applyBorder="1" applyAlignment="1">
      <x:alignment horizontal="center" vertical="top"/>
    </x:xf>
    <x:xf numFmtId="200" fontId="6" fillId="0" borderId="7" xfId="0" applyNumberFormat="1" applyFont="1" applyFill="1" applyBorder="1" applyAlignment="1">
      <x:alignment vertical="top"/>
    </x:xf>
    <x:xf numFmtId="0" fontId="7" fillId="0" borderId="7" xfId="0" applyNumberFormat="1" applyFont="1" applyFill="1" applyBorder="1" applyAlignment="1">
      <x:alignment vertical="top"/>
    </x:xf>
    <x:xf numFmtId="0" fontId="6" fillId="0" borderId="8" xfId="0" applyNumberFormat="1" applyFont="1" applyFill="1" applyBorder="1" applyAlignment="1">
      <x:alignment horizontal="center" vertical="top"/>
    </x:xf>
    <x:xf numFmtId="0" fontId="6" fillId="0" borderId="8" xfId="0" applyNumberFormat="1" applyFont="1" applyFill="1" applyBorder="1" applyAlignment="1">
      <x:alignment horizontal="center" vertical="top" wrapText="1"/>
    </x:xf>
    <x:xf numFmtId="0" fontId="6" fillId="0" borderId="8" xfId="0" applyNumberFormat="1" applyFont="1" applyFill="1" applyBorder="1" applyAlignment="1">
      <x:alignment vertical="top" wrapText="1"/>
    </x:xf>
    <x:xf numFmtId="0" fontId="6" fillId="4" borderId="8" xfId="0" applyNumberFormat="1" applyFont="1" applyFill="1" applyBorder="1" applyAlignment="1">
      <x:alignment horizontal="center" vertical="top"/>
    </x:xf>
    <x:xf numFmtId="200" fontId="6" fillId="0" borderId="8" xfId="0" applyNumberFormat="1" applyFont="1" applyFill="1" applyBorder="1" applyAlignment="1">
      <x:alignment vertical="top"/>
    </x:xf>
    <x:xf numFmtId="0" fontId="7" fillId="0" borderId="8" xfId="0" applyNumberFormat="1" applyFont="1" applyFill="1" applyBorder="1" applyAlignment="1">
      <x:alignment vertical="top"/>
    </x:xf>
  </x:cellXfs>
  <x:cellStyles count="1">
    <x:cellStyle name="Normal" xfId="0"/>
  </x:cellStyles>
  <x:dxfs count="4">
    <x:dxf>
      <x:font>
        <x:b/>
        <x:color rgb="FF276221"/>
      </x:font>
      <x:fill>
        <x:patternFill patternType="solid">
          <x:bgColor rgb="FFD9EAD3"/>
        </x:patternFill>
      </x:fill>
    </x:dxf>
    <x:dxf>
      <x:font>
        <x:color rgb="FF7F6000"/>
      </x:font>
      <x:fill>
        <x:patternFill patternType="solid">
          <x:bgColor rgb="FFFFF2CC"/>
        </x:patternFill>
      </x:fill>
    </x:dxf>
    <x:dxf>
      <x:font>
        <x:b/>
        <x:color rgb="FF990000"/>
      </x:font>
      <x:fill>
        <x:patternFill patternType="solid">
          <x:bgColor rgb="FFF4CCCC"/>
        </x:patternFill>
      </x:fill>
    </x:dxf>
    <x:dxf>
      <x:font>
        <x:color rgb="FF666666"/>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e27c50d79e4838" /><Relationship Type="http://schemas.openxmlformats.org/officeDocument/2006/relationships/theme" Target="/xl/theme/theme1.xml" Id="R1ef56ecdb866487e" /><Relationship Type="http://schemas.openxmlformats.org/officeDocument/2006/relationships/sharedStrings" Target="/xl/sharedStrings.xml" Id="R2348196b62ec4e4d" /><Relationship Type="http://schemas.openxmlformats.org/officeDocument/2006/relationships/worksheet" Target="/xl/worksheets/sheet1.xml" Id="R01b37e8bfd8c4fe0" /></Relationships>
</file>

<file path=xl/tables/table1.xml><?xml version="1.0" encoding="utf-8"?>
<x:table xmlns:x="http://schemas.openxmlformats.org/spreadsheetml/2006/main" id="1" name="TakeoutPostSelection" displayName="TakeoutPostSelection" ref="A8:O126" headerRowCount="1" totalsRowCount="0" totalsRowShown="0">
  <x:autoFilter ref="A8:O126"/>
  <x:tableColumns count="15">
    <x:tableColumn id="1" name="序號"/>
    <x:tableColumn id="2" name="分析建議"/>
    <x:tableColumn id="3" name="建議理由"/>
    <x:tableColumn id="4" name="發布選擇"/>
    <x:tableColumn id="5" name="發布日期"/>
    <x:tableColumn id="6" name="文章標題"/>
    <x:tableColumn id="7" name="原標籤"/>
    <x:tableColumn id="8" name="YouTube"/>
    <x:tableColumn id="9" name="圖片"/>
    <x:tableColumn id="10" name="文字數"/>
    <x:tableColumn id="11" name="影片處理"/>
    <x:tableColumn id="12" name="摘要"/>
    <x:tableColumn id="13" name="原文網址"/>
    <x:tableColumn id="14" name="現有網站檔案"/>
    <x:tableColumn id="15" name="備註"/>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b3b210d23c4fcb" /></Relationships>
</file>

<file path=xl/worksheets/sheet1.xml><?xml version="1.0" encoding="utf-8"?>
<x:worksheet xmlns:x="http://schemas.openxmlformats.org/spreadsheetml/2006/main">
  <x:sheetPr>
    <x:tabColor rgb="FF355C7D"/>
  </x:sheetPr>
  <x:sheetViews>
    <x:sheetView showGridLines="0" workbookViewId="0">
      <x:pane xSplit="6" ySplit="8" topLeftCell="G9" activePane="bottomRight" state="frozen"/>
    </x:sheetView>
  </x:sheetViews>
  <x:sheetFormatPr defaultRowHeight="15"/>
  <x:cols>
    <x:col min="1" max="1" width="7" hidden="0" customWidth="1"/>
    <x:col min="2" max="2" width="18" hidden="0" customWidth="1"/>
    <x:col min="3" max="3" width="36" hidden="0" customWidth="1"/>
    <x:col min="4" max="4" width="12" hidden="0" customWidth="1"/>
    <x:col min="5" max="5" width="17" hidden="0" customWidth="1"/>
    <x:col min="6" max="6" width="34" hidden="0" customWidth="1"/>
    <x:col min="7" max="7" width="18" hidden="0" customWidth="1"/>
    <x:col min="8" max="8" width="10" hidden="0" customWidth="1"/>
    <x:col min="9" max="9" width="10" hidden="0" customWidth="1"/>
    <x:col min="10" max="10" width="10" hidden="0" customWidth="1"/>
    <x:col min="11" max="11" width="38" hidden="0" customWidth="1"/>
    <x:col min="12" max="12" width="46" hidden="0" customWidth="1"/>
    <x:col min="13" max="13" width="34" hidden="0" customWidth="1"/>
    <x:col min="14" max="14" width="46" hidden="0" customWidth="1"/>
    <x:col min="15" max="15" width="24" hidden="0" customWidth="1"/>
  </x:cols>
  <x:sheetData>
    <x:row r="2">
      <x:c r="A2" s="1" t="str">
        <x:v>Takeout 文章轉入建議</x:v>
      </x:c>
    </x:row>
    <x:row r="3">
      <x:c r="A3" s="2" t="str">
        <x:v>來源：Takeout/Blogger/Blogs/教理讀書會籌備處/feed.atom。「已存在」文章不要重複匯入；請在黃色欄位選擇新文是否發佈。</x:v>
      </x:c>
    </x:row>
    <x:row r="5">
      <x:c r="A5" s="4" t="str">
        <x:v>文章總數</x:v>
      </x:c>
      <x:c r="B5" s="4" t="n">
        <x:v>118</x:v>
      </x:c>
      <x:c r="C5" s="4" t="str">
        <x:v>已存在</x:v>
      </x:c>
      <x:c r="D5" s="4" t="n">
        <x:v>50</x:v>
      </x:c>
      <x:c r="E5" s="4" t="str">
        <x:v>優先轉入</x:v>
      </x:c>
      <x:c r="F5" s="4" t="n">
        <x:v>59</x:v>
      </x:c>
      <x:c r="G5" s="4" t="str">
        <x:v>可選轉入</x:v>
      </x:c>
      <x:c r="H5" s="4" t="n">
        <x:v>5</x:v>
      </x:c>
      <x:c r="I5" s="4" t="str">
        <x:v>暫不轉入</x:v>
      </x:c>
      <x:c r="J5" s="4" t="n">
        <x:v>4</x:v>
      </x:c>
    </x:row>
    <x:row r="8" ht="30" customHeight="1">
      <x:c r="A8" s="27" t="str">
        <x:v>序號</x:v>
      </x:c>
      <x:c r="B8" s="28" t="str">
        <x:v>分析建議</x:v>
      </x:c>
      <x:c r="C8" s="28" t="str">
        <x:v>建議理由</x:v>
      </x:c>
      <x:c r="D8" s="28" t="str">
        <x:v>發布選擇</x:v>
      </x:c>
      <x:c r="E8" s="28" t="str">
        <x:v>發布日期</x:v>
      </x:c>
      <x:c r="F8" s="28" t="str">
        <x:v>文章標題</x:v>
      </x:c>
      <x:c r="G8" s="28" t="str">
        <x:v>原標籤</x:v>
      </x:c>
      <x:c r="H8" s="28" t="str">
        <x:v>YouTube</x:v>
      </x:c>
      <x:c r="I8" s="28" t="str">
        <x:v>圖片</x:v>
      </x:c>
      <x:c r="J8" s="28" t="str">
        <x:v>文字數</x:v>
      </x:c>
      <x:c r="K8" s="28" t="str">
        <x:v>影片處理</x:v>
      </x:c>
      <x:c r="L8" s="28" t="str">
        <x:v>摘要</x:v>
      </x:c>
      <x:c r="M8" s="28" t="str">
        <x:v>原文網址</x:v>
      </x:c>
      <x:c r="N8" s="28" t="str">
        <x:v>現有網站檔案</x:v>
      </x:c>
      <x:c r="O8" s="29" t="str">
        <x:v>備註</x:v>
      </x:c>
    </x:row>
    <x:row r="9">
      <x:c r="A9" s="30" t="n">
        <x:v>1</x:v>
      </x:c>
      <x:c r="B9" s="31" t="str">
        <x:v>優先轉入</x:v>
      </x:c>
      <x:c r="C9" s="32" t="str">
        <x:v>目前網站未找到對應文章，正文完整，具有教理、見證或歷史保存價值。</x:v>
      </x:c>
      <x:c r="D9" s="33" t="str">
        <x:v>待決定</x:v>
      </x:c>
      <x:c r="E9" s="34" t="d">
        <x:v>2014-11-06T07:49:00.000Z</x:v>
      </x:c>
      <x:c r="F9" s="32" t="str">
        <x:v>連絡 1106</x:v>
      </x:c>
      <x:c r="G9" s="32" t="str">
        <x:v>表哥</x:v>
      </x:c>
      <x:c r="H9" s="30" t="n">
        <x:v>0</x:v>
      </x:c>
      <x:c r="I9" s="30" t="n">
        <x:v>0</x:v>
      </x:c>
      <x:c r="J9" s="30" t="n">
        <x:v>707</x:v>
      </x:c>
      <x:c r="K9" s="32" t="str">
        <x:v>無 YouTube</x:v>
      </x:c>
      <x:c r="L9" s="32" t="str">
        <x:v>這 1~2 個禮拜沒有新文章，先說聲抱歉。上個月底大祭和青年會大會比較忙，沒有時間翻譯。最近一個禮拜在處理一篇稿。明天開始會繼續翻譯「懷念教祖的身影」。 目前除了我 以外，也請材哥 一起，另外也請 2 位年輕人幫忙 ( 不得不承認我已經 30 快半了 …) 。希望在這裡提供一些新的、可讀性高的文章，讓不同教會出身的人也…</x:v>
      </x:c>
      <x:c r="M9" s="35" t="e">
        <x:f>HYPERLINK("https://tenristudy.blogspot.com/2014/11/1106.html","點這裡閱讀原文")</x:f>
        <x:v>HYPERLINK is not implemented. linkLocation=https://tenristudy.blogspot.com/2014/11/1106.html, friendlyName=點這裡閱讀原文</x:v>
      </x:c>
      <x:c r="N9" s="32" t="str"/>
      <x:c r="O9" s="32" t="str"/>
    </x:row>
    <x:row r="10">
      <x:c r="A10" s="30" t="n">
        <x:v>2</x:v>
      </x:c>
      <x:c r="B10" s="31" t="str">
        <x:v>優先轉入</x:v>
      </x:c>
      <x:c r="C10" s="32" t="str">
        <x:v>目前網站未找到對應文章，正文完整，具有教理、見證或歷史保存價值。</x:v>
      </x:c>
      <x:c r="D10" s="33" t="str">
        <x:v>待決定</x:v>
      </x:c>
      <x:c r="E10" s="34" t="d">
        <x:v>2014-11-07T04:59:00.000Z</x:v>
      </x:c>
      <x:c r="F10" s="32" t="str">
        <x:v>天理時報「視點」專欄：由「慎行」改變人的意識</x:v>
      </x:c>
      <x:c r="G10" s="32" t="str">
        <x:v>其他</x:v>
      </x:c>
      <x:c r="H10" s="30" t="n">
        <x:v>0</x:v>
      </x:c>
      <x:c r="I10" s="30" t="n">
        <x:v>0</x:v>
      </x:c>
      <x:c r="J10" s="30" t="n">
        <x:v>1388</x:v>
      </x:c>
      <x:c r="K10" s="32" t="str">
        <x:v>無 YouTube</x:v>
      </x:c>
      <x:c r="L10" s="32" t="str">
        <x:v>日文的「天理時報」是天理教的官方報紙，每週出刊一次。其中第三版的「視點」一欄，相當於一般報紙的社論，邀請教內有學問的老師們，針對各種問題以教理的角度來解讀，並提出可行的方向。 11 月 9 日號的專欄執筆者為本芝大教會的白木原嘉誠老師 ( 也是傳道廳青年山田常太的舅舅 ) ，以教理的角度來解讀地球溫暖化問題，值得一看。…</x:v>
      </x:c>
      <x:c r="M10" s="35" t="e">
        <x:f>HYPERLINK("https://tenristudy.blogspot.com/2014/11/blog-post.html","點這裡閱讀原文")</x:f>
        <x:v>HYPERLINK is not implemented. linkLocation=https://tenristudy.blogspot.com/2014/11/blog-post.html, friendlyName=點這裡閱讀原文</x:v>
      </x:c>
      <x:c r="N10" s="32" t="str"/>
      <x:c r="O10" s="32" t="str"/>
    </x:row>
    <x:row r="11">
      <x:c r="A11" s="30" t="n">
        <x:v>3</x:v>
      </x:c>
      <x:c r="B11" s="31" t="str">
        <x:v>優先轉入</x:v>
      </x:c>
      <x:c r="C11" s="32" t="str">
        <x:v>目前網站未找到對應文章，正文完整，具有教理、見證或歷史保存價值。</x:v>
      </x:c>
      <x:c r="D11" s="33" t="str">
        <x:v>待決定</x:v>
      </x:c>
      <x:c r="E11" s="34" t="d">
        <x:v>2014-12-05T07:15:00.000Z</x:v>
      </x:c>
      <x:c r="F11" s="32" t="str">
        <x:v>巴西天理教現況</x:v>
      </x:c>
      <x:c r="G11" s="32" t="str">
        <x:v>表哥</x:v>
      </x:c>
      <x:c r="H11" s="30" t="n">
        <x:v>0</x:v>
      </x:c>
      <x:c r="I11" s="30" t="n">
        <x:v>0</x:v>
      </x:c>
      <x:c r="J11" s="30" t="n">
        <x:v>2408</x:v>
      </x:c>
      <x:c r="K11" s="32" t="str">
        <x:v>無 YouTube</x:v>
      </x:c>
      <x:c r="L11" s="32" t="str">
        <x:v>這篇翻譯自 日本の新宗教の組織的展開２ ，介紹巴西天理教的現況。巴西和台灣一樣，同為非日本藉信者人數眾多的地方。頗有參考價值。 -- 新宗教的巴西傳教 日本新宗教的組織發展 2 天理大學國際學部教授 山田政信 日裔社會的天理教 現在巴西傳道廳 ( 天理教於當地最高管理機構 ) 管轄的教會有 90 所，其中多數集中在日裔…</x:v>
      </x:c>
      <x:c r="M11" s="35" t="e">
        <x:f>HYPERLINK("https://tenristudy.blogspot.com/2014/12/blog-post_4.html","點這裡閱讀原文")</x:f>
        <x:v>HYPERLINK is not implemented. linkLocation=https://tenristudy.blogspot.com/2014/12/blog-post_4.html, friendlyName=點這裡閱讀原文</x:v>
      </x:c>
      <x:c r="N11" s="32" t="str"/>
      <x:c r="O11" s="32" t="str"/>
    </x:row>
    <x:row r="12">
      <x:c r="A12" s="30" t="n">
        <x:v>5</x:v>
      </x:c>
      <x:c r="B12" s="31" t="str">
        <x:v>優先轉入</x:v>
      </x:c>
      <x:c r="C12" s="32" t="str">
        <x:v>目前網站未找到對應文章，正文完整，具有教理、見證或歷史保存價值。</x:v>
      </x:c>
      <x:c r="D12" s="33" t="str">
        <x:v>待決定</x:v>
      </x:c>
      <x:c r="E12" s="34" t="d">
        <x:v>2015-03-16T01:28:00.000Z</x:v>
      </x:c>
      <x:c r="F12" s="32" t="str">
        <x:v>御筆先選粹</x:v>
      </x:c>
      <x:c r="G12" s="32" t="str">
        <x:v>御筆先</x:v>
      </x:c>
      <x:c r="H12" s="30" t="n">
        <x:v>0</x:v>
      </x:c>
      <x:c r="I12" s="30" t="n">
        <x:v>0</x:v>
      </x:c>
      <x:c r="J12" s="30" t="n">
        <x:v>3379</x:v>
      </x:c>
      <x:c r="K12" s="32" t="str">
        <x:v>無 YouTube</x:v>
      </x:c>
      <x:c r="L12" s="32" t="str">
        <x:v>最近在準備教祖傳第八章內容，一邊把御筆先裡重要的教理整理出來。 1880年代為了不被警察沒收，御筆先有很長的時間被藏起來，一直到1927年才拿出來，並且印刷出版。中間這40年左右的期間，剛好是天理教發展最重要的時期。可以說是因為這個原因，不管在台灣或日本，目前在天理教教會裡對研究、學習御筆先的情況都不是很普遍。相當可惜…</x:v>
      </x:c>
      <x:c r="M12" s="35" t="e">
        <x:f>HYPERLINK("https://tenristudy.blogspot.com/2015/03/blog-post_15.html","點這裡閱讀原文")</x:f>
        <x:v>HYPERLINK is not implemented. linkLocation=https://tenristudy.blogspot.com/2015/03/blog-post_15.html, friendlyName=點這裡閱讀原文</x:v>
      </x:c>
      <x:c r="N12" s="32" t="str"/>
      <x:c r="O12" s="32" t="str"/>
    </x:row>
    <x:row r="13">
      <x:c r="A13" s="30" t="n">
        <x:v>6</x:v>
      </x:c>
      <x:c r="B13" s="31" t="str">
        <x:v>優先轉入</x:v>
      </x:c>
      <x:c r="C13" s="32" t="str">
        <x:v>目前網站未找到對應文章，正文完整，具有教理、見證或歷史保存價值。</x:v>
      </x:c>
      <x:c r="D13" s="33" t="str">
        <x:v>待決定</x:v>
      </x:c>
      <x:c r="E13" s="34" t="d">
        <x:v>2015-03-16T01:32:00.000Z</x:v>
      </x:c>
      <x:c r="F13" s="32" t="str">
        <x:v>御筆先選粹(二)</x:v>
      </x:c>
      <x:c r="G13" s="32" t="str">
        <x:v>御筆先</x:v>
      </x:c>
      <x:c r="H13" s="30" t="n">
        <x:v>0</x:v>
      </x:c>
      <x:c r="I13" s="30" t="n">
        <x:v>0</x:v>
      </x:c>
      <x:c r="J13" s="30" t="n">
        <x:v>2782</x:v>
      </x:c>
      <x:c r="K13" s="32" t="str">
        <x:v>無 YouTube</x:v>
      </x:c>
      <x:c r="L13" s="32" t="str">
        <x:v>人心映入神心 「既然這世界是月日所創，沒有什麼事情是月日所不知。世界上所有人的 內 心，全都映照於月日。不知道這道理，所有人心裡想的都只有自己。 」 第八號 11 ~13 真實父母 「這奉行聖舞之處，就是創造出人類的地方啊。創造人類的父母依然在世，這是真的哦。把這話當真的人，不論到哪裡也找不到。」 第八號 36 ~38…</x:v>
      </x:c>
      <x:c r="M13" s="35" t="e">
        <x:f>HYPERLINK("https://tenristudy.blogspot.com/2015/03/blog-post_94.html","點這裡閱讀原文")</x:f>
        <x:v>HYPERLINK is not implemented. linkLocation=https://tenristudy.blogspot.com/2015/03/blog-post_94.html, friendlyName=點這裡閱讀原文</x:v>
      </x:c>
      <x:c r="N13" s="32" t="str"/>
      <x:c r="O13" s="32" t="str"/>
    </x:row>
    <x:row r="14">
      <x:c r="A14" s="30" t="n">
        <x:v>7</x:v>
      </x:c>
      <x:c r="B14" s="31" t="str">
        <x:v>優先轉入</x:v>
      </x:c>
      <x:c r="C14" s="32" t="str">
        <x:v>目前網站未找到對應文章，正文完整，具有教理、見證或歷史保存價值。</x:v>
      </x:c>
      <x:c r="D14" s="33" t="str">
        <x:v>待決定</x:v>
      </x:c>
      <x:c r="E14" s="34" t="d">
        <x:v>2015-04-03T11:30:00.000Z</x:v>
      </x:c>
      <x:c r="F14" s="32" t="str">
        <x:v>修養科的回憶</x:v>
      </x:c>
      <x:c r="G14" s="32" t="str">
        <x:v>表哥</x:v>
      </x:c>
      <x:c r="H14" s="30" t="n">
        <x:v>0</x:v>
      </x:c>
      <x:c r="I14" s="30" t="n">
        <x:v>1</x:v>
      </x:c>
      <x:c r="J14" s="30" t="n">
        <x:v>1234</x:v>
      </x:c>
      <x:c r="K14" s="32" t="str">
        <x:v>無 YouTube</x:v>
      </x:c>
      <x:c r="L14" s="32" t="str">
        <x:v>我參加修養科是在 2008 年 ( 立教 171 年 )7 月到 9 月(807期)。 2007 年進入天理教語學院，第二年 (2008 年 4 月 ~2009 年 3 月 ) 的課程其中一部分就是要進入修養科。 當時信仰才開始不久，對修養科還不是很清楚。那時候日文書才剛開始能自己閱讀，天理教的信仰主要還是知識性的信仰…</x:v>
      </x:c>
      <x:c r="M14" s="35" t="e">
        <x:f>HYPERLINK("https://tenristudy.blogspot.com/2015/04/blog-post.html","點這裡閱讀原文")</x:f>
        <x:v>HYPERLINK is not implemented. linkLocation=https://tenristudy.blogspot.com/2015/04/blog-post.html, friendlyName=點這裡閱讀原文</x:v>
      </x:c>
      <x:c r="N14" s="32" t="str"/>
      <x:c r="O14" s="32" t="str"/>
    </x:row>
    <x:row r="15">
      <x:c r="A15" s="30" t="n">
        <x:v>9</x:v>
      </x:c>
      <x:c r="B15" s="31" t="str">
        <x:v>優先轉入</x:v>
      </x:c>
      <x:c r="C15" s="32" t="str">
        <x:v>目前網站未找到對應文章，且含可保留的 YouTube 影音內容。</x:v>
      </x:c>
      <x:c r="D15" s="33" t="str">
        <x:v>待決定</x:v>
      </x:c>
      <x:c r="E15" s="34" t="d">
        <x:v>2020-04-19T14:00:00.000Z</x:v>
      </x:c>
      <x:c r="F15" s="32" t="str">
        <x:v>教理解說，說明「邪惡」「回報」，宇宙的大道理，撥什麼種子就發什麼芽。</x:v>
      </x:c>
      <x:c r="G15" s="32" t="str">
        <x:v>影音</x:v>
      </x:c>
      <x:c r="H15" s="30" t="n">
        <x:v>1</x:v>
      </x:c>
      <x:c r="I15" s="30" t="n">
        <x:v>0</x:v>
      </x:c>
      <x:c r="J15" s="30" t="n">
        <x:v>0</x:v>
      </x:c>
      <x:c r="K15" s="32" t="str">
        <x:v>YouTube 1個：轉入時改用 youtube-nocookie.com 響應式播放器</x:v>
      </x:c>
      <x:c r="L15" s="32" t="str"/>
      <x:c r="M15" s="35" t="e">
        <x:f>HYPERLINK("https://tenristudy.blogspot.com/2020/04/blog-post.html","點這裡閱讀原文")</x:f>
        <x:v>HYPERLINK is not implemented. linkLocation=https://tenristudy.blogspot.com/2020/04/blog-post.html, friendlyName=點這裡閱讀原文</x:v>
      </x:c>
      <x:c r="N15" s="32" t="str"/>
      <x:c r="O15" s="32" t="str"/>
    </x:row>
    <x:row r="16">
      <x:c r="A16" s="30" t="n">
        <x:v>10</x:v>
      </x:c>
      <x:c r="B16" s="31" t="str">
        <x:v>優先轉入</x:v>
      </x:c>
      <x:c r="C16" s="32" t="str">
        <x:v>目前網站未找到對應文章，且含可保留的 YouTube 影音內容。</x:v>
      </x:c>
      <x:c r="D16" s="33" t="str">
        <x:v>待決定</x:v>
      </x:c>
      <x:c r="E16" s="34" t="d">
        <x:v>2020-04-19T14:01:00.000Z</x:v>
      </x:c>
      <x:c r="F16" s="32" t="str">
        <x:v>教理解說，說明「邪惡」「回報」後半段。宇宙的大道理，撥什麼種子就發什麼芽。灰塵就是來自於你的無意識。</x:v>
      </x:c>
      <x:c r="G16" s="32" t="str">
        <x:v>影音</x:v>
      </x:c>
      <x:c r="H16" s="30" t="n">
        <x:v>1</x:v>
      </x:c>
      <x:c r="I16" s="30" t="n">
        <x:v>0</x:v>
      </x:c>
      <x:c r="J16" s="30" t="n">
        <x:v>0</x:v>
      </x:c>
      <x:c r="K16" s="32" t="str">
        <x:v>YouTube 1個：轉入時改用 youtube-nocookie.com 響應式播放器</x:v>
      </x:c>
      <x:c r="L16" s="32" t="str"/>
      <x:c r="M16" s="35" t="e">
        <x:f>HYPERLINK("https://tenristudy.blogspot.com/2020/04/blog-post_19.html","點這裡閱讀原文")</x:f>
        <x:v>HYPERLINK is not implemented. linkLocation=https://tenristudy.blogspot.com/2020/04/blog-post_19.html, friendlyName=點這裡閱讀原文</x:v>
      </x:c>
      <x:c r="N16" s="32" t="str"/>
      <x:c r="O16" s="32" t="str"/>
    </x:row>
    <x:row r="17">
      <x:c r="A17" s="30" t="n">
        <x:v>11</x:v>
      </x:c>
      <x:c r="B17" s="31" t="str">
        <x:v>優先轉入</x:v>
      </x:c>
      <x:c r="C17" s="32" t="str">
        <x:v>目前網站未找到對應文章，且含可保留的 YouTube 影音內容。</x:v>
      </x:c>
      <x:c r="D17" s="33" t="str">
        <x:v>待決定</x:v>
      </x:c>
      <x:c r="E17" s="34" t="d">
        <x:v>2020-04-19T14:02:00.000Z</x:v>
      </x:c>
      <x:c r="F17" s="32" t="str">
        <x:v>信仰的目標「要改掉不好的習性！」教祖伝逸話編123のお言葉</x:v>
      </x:c>
      <x:c r="G17" s="32" t="str">
        <x:v>影音</x:v>
      </x:c>
      <x:c r="H17" s="30" t="n">
        <x:v>1</x:v>
      </x:c>
      <x:c r="I17" s="30" t="n">
        <x:v>0</x:v>
      </x:c>
      <x:c r="J17" s="30" t="n">
        <x:v>0</x:v>
      </x:c>
      <x:c r="K17" s="32" t="str">
        <x:v>YouTube 1個：轉入時改用 youtube-nocookie.com 響應式播放器</x:v>
      </x:c>
      <x:c r="L17" s="32" t="str"/>
      <x:c r="M17" s="35" t="e">
        <x:f>HYPERLINK("https://tenristudy.blogspot.com/2020/04/123.html","點這裡閱讀原文")</x:f>
        <x:v>HYPERLINK is not implemented. linkLocation=https://tenristudy.blogspot.com/2020/04/123.html, friendlyName=點這裡閱讀原文</x:v>
      </x:c>
      <x:c r="N17" s="32" t="str"/>
      <x:c r="O17" s="32" t="str"/>
    </x:row>
    <x:row r="18">
      <x:c r="A18" s="30" t="n">
        <x:v>12</x:v>
      </x:c>
      <x:c r="B18" s="31" t="str">
        <x:v>優先轉入</x:v>
      </x:c>
      <x:c r="C18" s="32" t="str">
        <x:v>目前網站未找到對應文章，且含可保留的 YouTube 影音內容。</x:v>
      </x:c>
      <x:c r="D18" s="33" t="str">
        <x:v>待決定</x:v>
      </x:c>
      <x:c r="E18" s="34" t="d">
        <x:v>2020-04-19T14:03:00.000Z</x:v>
      </x:c>
      <x:c r="F18" s="32" t="str">
        <x:v>天理教 神樂歌第二節「ちょいとはなし」的解說</x:v>
      </x:c>
      <x:c r="G18" s="32" t="str">
        <x:v>影音</x:v>
      </x:c>
      <x:c r="H18" s="30" t="n">
        <x:v>1</x:v>
      </x:c>
      <x:c r="I18" s="30" t="n">
        <x:v>0</x:v>
      </x:c>
      <x:c r="J18" s="30" t="n">
        <x:v>0</x:v>
      </x:c>
      <x:c r="K18" s="32" t="str">
        <x:v>YouTube 1個：轉入時改用 youtube-nocookie.com 響應式播放器</x:v>
      </x:c>
      <x:c r="L18" s="32" t="str"/>
      <x:c r="M18" s="35" t="e">
        <x:f>HYPERLINK("https://tenristudy.blogspot.com/2020/04/blog-post_21.html","點這裡閱讀原文")</x:f>
        <x:v>HYPERLINK is not implemented. linkLocation=https://tenristudy.blogspot.com/2020/04/blog-post_21.html, friendlyName=點這裡閱讀原文</x:v>
      </x:c>
      <x:c r="N18" s="32" t="str"/>
      <x:c r="O18" s="32" t="str"/>
    </x:row>
    <x:row r="19">
      <x:c r="A19" s="30" t="n">
        <x:v>55</x:v>
      </x:c>
      <x:c r="B19" s="31" t="str">
        <x:v>優先轉入</x:v>
      </x:c>
      <x:c r="C19" s="32" t="str">
        <x:v>目前網站未找到對應文章，正文完整，具有教理、見證或歷史保存價值。</x:v>
      </x:c>
      <x:c r="D19" s="33" t="str">
        <x:v>待決定</x:v>
      </x:c>
      <x:c r="E19" s="34" t="d">
        <x:v>2020-05-16T15:36:00.000Z</x:v>
      </x:c>
      <x:c r="F19" s="32" t="str">
        <x:v>緣由</x:v>
      </x:c>
      <x:c r="G19" s="32" t="str">
        <x:v>群組記事本、表哥</x:v>
      </x:c>
      <x:c r="H19" s="30" t="n">
        <x:v>0</x:v>
      </x:c>
      <x:c r="I19" s="30" t="n">
        <x:v>1</x:v>
      </x:c>
      <x:c r="J19" s="30" t="n">
        <x:v>484</x:v>
      </x:c>
      <x:c r="K19" s="32" t="str">
        <x:v>無 YouTube</x:v>
      </x:c>
      <x:c r="L19" s="32" t="str">
        <x:v>「教理讀書會籌備處」這個名稱也許大家會覺得很奇怪。因最近加入者多，這邊說明一下。 2014年我在傳道廳擔任青年期間，經福井會長介紹認識南紀的邱先生。邱先生雖不懂日文，但對鑽研教理非常有興趣。此外當時善光的陳禹丞常常來傳道廳，甲賀的剛伯也在內湖，因此興起辦讀書的念頭。 在傳道廳聚會幾次後，我回到海外部，繼續與邱先生、禹丞…</x:v>
      </x:c>
      <x:c r="M19" s="35" t="e">
        <x:f>HYPERLINK("https://tenristudy.blogspot.com/2020/05/blog-post.html","點這裡閱讀原文")</x:f>
        <x:v>HYPERLINK is not implemented. linkLocation=https://tenristudy.blogspot.com/2020/05/blog-post.html, friendlyName=點這裡閱讀原文</x:v>
      </x:c>
      <x:c r="N19" s="32" t="str"/>
      <x:c r="O19" s="32" t="str"/>
    </x:row>
    <x:row r="20">
      <x:c r="A20" s="30" t="n">
        <x:v>57</x:v>
      </x:c>
      <x:c r="B20" s="31" t="str">
        <x:v>優先轉入</x:v>
      </x:c>
      <x:c r="C20" s="32" t="str">
        <x:v>目前網站未找到對應文章，正文完整，具有教理、見證或歷史保存價值。</x:v>
      </x:c>
      <x:c r="D20" s="33" t="str">
        <x:v>待決定</x:v>
      </x:c>
      <x:c r="E20" s="34" t="d">
        <x:v>2020-05-18T13:16:00.000Z</x:v>
      </x:c>
      <x:c r="F20" s="32" t="str">
        <x:v>信仰分享（一）</x:v>
      </x:c>
      <x:c r="G20" s="32" t="str">
        <x:v>群組記事本</x:v>
      </x:c>
      <x:c r="H20" s="30" t="n">
        <x:v>0</x:v>
      </x:c>
      <x:c r="I20" s="30" t="n">
        <x:v>0</x:v>
      </x:c>
      <x:c r="J20" s="30" t="n">
        <x:v>1155</x:v>
      </x:c>
      <x:c r="K20" s="32" t="str">
        <x:v>無 YouTube</x:v>
      </x:c>
      <x:c r="L20" s="32" t="str">
        <x:v>謝秋瑾女士 女兒三歲時得盲腸炎。由於醫生的誤診，耽擱了幾天後轉變成腹膜炎。看到孩子痛苦的樣子真是心如刀割。孩子住院期間，當時的木村廳長夫人來幫孩子作神授，她很委婉地對我說，要多孝順婆婆。 當時我跟婆婆同住，婆媳之間的確有些摩擦，心想，天啊！你怎會知道？ 教理中有教導，孩子十五歲以前身體顯現疾病是父母的責任，十五歲以後才…</x:v>
      </x:c>
      <x:c r="M20" s="35" t="e">
        <x:f>HYPERLINK("https://tenristudy.blogspot.com/2020/05/blog-post_18.html","點這裡閱讀原文")</x:f>
        <x:v>HYPERLINK is not implemented. linkLocation=https://tenristudy.blogspot.com/2020/05/blog-post_18.html, friendlyName=點這裡閱讀原文</x:v>
      </x:c>
      <x:c r="N20" s="32" t="str"/>
      <x:c r="O20" s="32" t="str"/>
    </x:row>
    <x:row r="21">
      <x:c r="A21" s="30" t="n">
        <x:v>58</x:v>
      </x:c>
      <x:c r="B21" s="31" t="str">
        <x:v>優先轉入</x:v>
      </x:c>
      <x:c r="C21" s="32" t="str">
        <x:v>目前網站未找到對應文章，正文完整，具有教理、見證或歷史保存價值。</x:v>
      </x:c>
      <x:c r="D21" s="33" t="str">
        <x:v>待決定</x:v>
      </x:c>
      <x:c r="E21" s="34" t="d">
        <x:v>2020-05-18T13:47:00.000Z</x:v>
      </x:c>
      <x:c r="F21" s="32" t="str">
        <x:v>教理分享（一）</x:v>
      </x:c>
      <x:c r="G21" s="32" t="str">
        <x:v>群組記事本</x:v>
      </x:c>
      <x:c r="H21" s="30" t="n">
        <x:v>0</x:v>
      </x:c>
      <x:c r="I21" s="30" t="n">
        <x:v>2</x:v>
      </x:c>
      <x:c r="J21" s="30" t="n">
        <x:v>1375</x:v>
      </x:c>
      <x:c r="K21" s="32" t="str">
        <x:v>無 YouTube</x:v>
      </x:c>
      <x:c r="L21" s="32" t="str">
        <x:v>(作者應為吳珍芳老師，解釋吳貞慧老師先前的貼文) 補充一下關於疾病、煩惱的解釋。前面吳老師說的深谷忠政老師寫過「身上さとし」和「事情さとし」，這兩本書都厚厚一本，裡面分得很細，例如疝氣是什麼原因、拉肚子是什麼原因都分析出來。這是深谷老師拯救的經驗談，可以做參考。不過一般不會把它當成是具有普遍性的解釋。 一般來說，反省時…</x:v>
      </x:c>
      <x:c r="M21" s="35" t="e">
        <x:f>HYPERLINK("https://tenristudy.blogspot.com/2020/05/blog-post_54.html","點這裡閱讀原文")</x:f>
        <x:v>HYPERLINK is not implemented. linkLocation=https://tenristudy.blogspot.com/2020/05/blog-post_54.html, friendlyName=點這裡閱讀原文</x:v>
      </x:c>
      <x:c r="N21" s="32" t="str"/>
      <x:c r="O21" s="32" t="str"/>
    </x:row>
    <x:row r="22">
      <x:c r="A22" s="30" t="n">
        <x:v>59</x:v>
      </x:c>
      <x:c r="B22" s="31" t="str">
        <x:v>優先轉入</x:v>
      </x:c>
      <x:c r="C22" s="32" t="str">
        <x:v>目前網站未找到對應文章，正文完整，具有教理、見證或歷史保存價值。</x:v>
      </x:c>
      <x:c r="D22" s="33" t="str">
        <x:v>待決定</x:v>
      </x:c>
      <x:c r="E22" s="34" t="d">
        <x:v>2020-05-18T13:50:59.999Z</x:v>
      </x:c>
      <x:c r="F22" s="32" t="str">
        <x:v>信仰分享（二）</x:v>
      </x:c>
      <x:c r="G22" s="32" t="str">
        <x:v>群組記事本</x:v>
      </x:c>
      <x:c r="H22" s="30" t="n">
        <x:v>0</x:v>
      </x:c>
      <x:c r="I22" s="30" t="n">
        <x:v>0</x:v>
      </x:c>
      <x:c r="J22" s="30" t="n">
        <x:v>1884</x:v>
      </x:c>
      <x:c r="K22" s="32" t="str">
        <x:v>無 YouTube</x:v>
      </x:c>
      <x:c r="L22" s="32" t="str">
        <x:v>四姐的家 大家好！ 這文章是我個人在信仰過程發生的小心得，敬請指教。 在信仰的過程中， 我無法告訴想認識天理教的人說:只要您信仰父母神在未来的日子里，父母神都能讓您求什麽就有什麽。 我認為信仰是在纍積個人的（德份），我常在各種宗教信者的祈祷文聽到是:xx神啊！您保佑我兒子考上xx大学，我就打金牌來谢神。 我覺得神為什麽…</x:v>
      </x:c>
      <x:c r="M22" s="35" t="e">
        <x:f>HYPERLINK("https://tenristudy.blogspot.com/2020/05/blog-post_52.html","點這裡閱讀原文")</x:f>
        <x:v>HYPERLINK is not implemented. linkLocation=https://tenristudy.blogspot.com/2020/05/blog-post_52.html, friendlyName=點這裡閱讀原文</x:v>
      </x:c>
      <x:c r="N22" s="32" t="str"/>
      <x:c r="O22" s="32" t="str"/>
    </x:row>
    <x:row r="23">
      <x:c r="A23" s="30" t="n">
        <x:v>60</x:v>
      </x:c>
      <x:c r="B23" s="31" t="str">
        <x:v>優先轉入</x:v>
      </x:c>
      <x:c r="C23" s="32" t="str">
        <x:v>目前網站未找到對應文章，正文完整，具有教理、見證或歷史保存價值。</x:v>
      </x:c>
      <x:c r="D23" s="33" t="str">
        <x:v>待決定</x:v>
      </x:c>
      <x:c r="E23" s="34" t="d">
        <x:v>2020-05-18T13:54:00.000Z</x:v>
      </x:c>
      <x:c r="F23" s="32" t="str">
        <x:v>信仰分享（三）</x:v>
      </x:c>
      <x:c r="G23" s="32" t="str">
        <x:v>群組記事本</x:v>
      </x:c>
      <x:c r="H23" s="30" t="n">
        <x:v>0</x:v>
      </x:c>
      <x:c r="I23" s="30" t="n">
        <x:v>0</x:v>
      </x:c>
      <x:c r="J23" s="30" t="n">
        <x:v>3466</x:v>
      </x:c>
      <x:c r="K23" s="32" t="str">
        <x:v>無 YouTube</x:v>
      </x:c>
      <x:c r="L23" s="32" t="str">
        <x:v>谢秋瑾女士筆述 以下是我這兩年的心路歷程與大家分享，內容有一點長。 兩年前這時候，嚴重肺部感染幾乎奪去我的性命，住院期間有會長及教友來幫我神授，但病情仍未見好轉，父母神的教導說，神佑是依心靈的成長賜予相應的佑護，我一直無法全心依靠神，不是懷疑神佑是否存在，而是懷疑自己的心靈成長的程度是否得以獲得這次身疾的佑護，懷疑自己…</x:v>
      </x:c>
      <x:c r="M23" s="35" t="e">
        <x:f>HYPERLINK("https://tenristudy.blogspot.com/2020/05/blog-post_38.html","點這裡閱讀原文")</x:f>
        <x:v>HYPERLINK is not implemented. linkLocation=https://tenristudy.blogspot.com/2020/05/blog-post_38.html, friendlyName=點這裡閱讀原文</x:v>
      </x:c>
      <x:c r="N23" s="32" t="str"/>
      <x:c r="O23" s="32" t="str"/>
    </x:row>
    <x:row r="24">
      <x:c r="A24" s="30" t="n">
        <x:v>62</x:v>
      </x:c>
      <x:c r="B24" s="31" t="str">
        <x:v>優先轉入</x:v>
      </x:c>
      <x:c r="C24" s="32" t="str">
        <x:v>目前網站未找到對應文章，正文完整，具有教理、見證或歷史保存價值。</x:v>
      </x:c>
      <x:c r="D24" s="33" t="str">
        <x:v>待決定</x:v>
      </x:c>
      <x:c r="E24" s="34" t="d">
        <x:v>2020-05-19T12:40:00.000Z</x:v>
      </x:c>
      <x:c r="F24" s="32" t="str">
        <x:v>信仰分享（五）</x:v>
      </x:c>
      <x:c r="G24" s="32" t="str">
        <x:v>群組記事本、表哥</x:v>
      </x:c>
      <x:c r="H24" s="30" t="n">
        <x:v>0</x:v>
      </x:c>
      <x:c r="I24" s="30" t="n">
        <x:v>0</x:v>
      </x:c>
      <x:c r="J24" s="30" t="n">
        <x:v>871</x:v>
      </x:c>
      <x:c r="K24" s="32" t="str">
        <x:v>無 YouTube</x:v>
      </x:c>
      <x:c r="L24" s="32" t="str">
        <x:v>2018年1月初 這一期的天理時報有一篇大亮先生的專訪，內容是有關青年會創立100週年相關活動的談話，很有意思。 很多人都知道，大亮先生在130年祭活動期間，經常在車站前路旁演講，有時候也會出現在別席場。這篇訪談裡，大亮先生談到帶人聽別席的感想。 首先是對「數字」太過堅持。一開始下定決心要帶多少初席者，在車站前不管認不…</x:v>
      </x:c>
      <x:c r="M24" s="35" t="e">
        <x:f>HYPERLINK("https://tenristudy.blogspot.com/2020/05/blog-post_19.html","點這裡閱讀原文")</x:f>
        <x:v>HYPERLINK is not implemented. linkLocation=https://tenristudy.blogspot.com/2020/05/blog-post_19.html, friendlyName=點這裡閱讀原文</x:v>
      </x:c>
      <x:c r="N24" s="32" t="str"/>
      <x:c r="O24" s="32" t="str"/>
    </x:row>
    <x:row r="25">
      <x:c r="A25" s="30" t="n">
        <x:v>63</x:v>
      </x:c>
      <x:c r="B25" s="31" t="str">
        <x:v>優先轉入</x:v>
      </x:c>
      <x:c r="C25" s="32" t="str">
        <x:v>目前網站未找到對應文章，正文完整，具有教理、見證或歷史保存價值。</x:v>
      </x:c>
      <x:c r="D25" s="33" t="str">
        <x:v>待決定</x:v>
      </x:c>
      <x:c r="E25" s="34" t="d">
        <x:v>2020-05-19T12:44:00.000Z</x:v>
      </x:c>
      <x:c r="F25" s="32" t="str">
        <x:v>信仰分享(六)</x:v>
      </x:c>
      <x:c r="G25" s="32" t="str">
        <x:v>群組記事本</x:v>
      </x:c>
      <x:c r="H25" s="30" t="n">
        <x:v>0</x:v>
      </x:c>
      <x:c r="I25" s="30" t="n">
        <x:v>0</x:v>
      </x:c>
      <x:c r="J25" s="30" t="n">
        <x:v>2746</x:v>
      </x:c>
      <x:c r="K25" s="32" t="str">
        <x:v>無 YouTube</x:v>
      </x:c>
      <x:c r="L25" s="32" t="str">
        <x:v>南紀邱先生執筆的傳單草稿 ~~~萬般拯救~~~ ~~~康樂生活~~~ ※詳情請洽背面全省各教會、佈教所或下方所列網址可加以了解，並歡迎轉印贈閱※ 天理教是人類以及世界萬物的創造者(宇宙元神)-「天理歐諾彌格多」──我們尊稱為父母神[因基於(父母)疼愛與教導(子女)之理]—(節錄於天理教典-御指圖)，於1838年10月2…</x:v>
      </x:c>
      <x:c r="M25" s="35" t="e">
        <x:f>HYPERLINK("https://tenristudy.blogspot.com/2020/05/blog-post_25.html","點這裡閱讀原文")</x:f>
        <x:v>HYPERLINK is not implemented. linkLocation=https://tenristudy.blogspot.com/2020/05/blog-post_25.html, friendlyName=點這裡閱讀原文</x:v>
      </x:c>
      <x:c r="N25" s="32" t="str"/>
      <x:c r="O25" s="32" t="str"/>
    </x:row>
    <x:row r="26">
      <x:c r="A26" s="30" t="n">
        <x:v>64</x:v>
      </x:c>
      <x:c r="B26" s="31" t="str">
        <x:v>優先轉入</x:v>
      </x:c>
      <x:c r="C26" s="32" t="str">
        <x:v>目前網站未找到對應文章，正文完整，具有教理、見證或歷史保存價值。</x:v>
      </x:c>
      <x:c r="D26" s="33" t="str">
        <x:v>待決定</x:v>
      </x:c>
      <x:c r="E26" s="34" t="d">
        <x:v>2020-05-19T12:49:00.000Z</x:v>
      </x:c>
      <x:c r="F26" s="32" t="str">
        <x:v>祈禱，使基因「活性化」</x:v>
      </x:c>
      <x:c r="G26" s="32" t="str">
        <x:v>群組記事本、表哥</x:v>
      </x:c>
      <x:c r="H26" s="30" t="n">
        <x:v>0</x:v>
      </x:c>
      <x:c r="I26" s="30" t="n">
        <x:v>1</x:v>
      </x:c>
      <x:c r="J26" s="30" t="n">
        <x:v>1500</x:v>
      </x:c>
      <x:c r="K26" s="32" t="str">
        <x:v>無 YouTube</x:v>
      </x:c>
      <x:c r="L26" s="32" t="str">
        <x:v>翻譯一篇產經新聞前幾天的文章。 作者村上和雄教授是天理教信者家在天理車站後面。是位知名的遺傳學家。 —— 以美國為中心，最近祈禱、冥想與健康之間的關係的研究越來越多。這些研究當中，證明了瑜珈冥想及專心(mindfulness)冥想可以改善因疲勞造成的免疫機能下降、具有從抑鬱恢復的效果。 具有與大自然一體性的本質 我過去…</x:v>
      </x:c>
      <x:c r="M26" s="35" t="e">
        <x:f>HYPERLINK("https://tenristudy.blogspot.com/2020/05/blog-post_49.html","點這裡閱讀原文")</x:f>
        <x:v>HYPERLINK is not implemented. linkLocation=https://tenristudy.blogspot.com/2020/05/blog-post_49.html, friendlyName=點這裡閱讀原文</x:v>
      </x:c>
      <x:c r="N26" s="32" t="str"/>
      <x:c r="O26" s="32" t="str"/>
    </x:row>
    <x:row r="27">
      <x:c r="A27" s="30" t="n">
        <x:v>67</x:v>
      </x:c>
      <x:c r="B27" s="31" t="str">
        <x:v>優先轉入</x:v>
      </x:c>
      <x:c r="C27" s="32" t="str">
        <x:v>目前網站未找到對應文章，正文完整，具有教理、見證或歷史保存價值。</x:v>
      </x:c>
      <x:c r="D27" s="33" t="str">
        <x:v>待決定</x:v>
      </x:c>
      <x:c r="E27" s="34" t="d">
        <x:v>2020-05-19T12:55:00.000Z</x:v>
      </x:c>
      <x:c r="F27" s="32" t="str">
        <x:v>信仰分享(七)</x:v>
      </x:c>
      <x:c r="G27" s="32" t="str">
        <x:v>群組記事本</x:v>
      </x:c>
      <x:c r="H27" s="30" t="n">
        <x:v>0</x:v>
      </x:c>
      <x:c r="I27" s="30" t="n">
        <x:v>0</x:v>
      </x:c>
      <x:c r="J27" s="30" t="n">
        <x:v>1910</x:v>
      </x:c>
      <x:c r="K27" s="32" t="str">
        <x:v>無 YouTube</x:v>
      </x:c>
      <x:c r="L27" s="32" t="str">
        <x:v>謝秋瑾老師撰寫 前幾天匡宇的貼文中，他回原地拜領了兩個人生重要的東西 一個是證據神符（しょうこまもり）另一個是妻子的安產神許 其意義在天理教用語這本書中有詳細說明，轉載如下： 證據神符（しょうこまもり） 返回原地時，可以申請領取祐身符。 但是這祐身符和一般只要出錢就可以買到的護身符完全不同。非但不可轉讓、也不可代領(※…</x:v>
      </x:c>
      <x:c r="M27" s="35" t="e">
        <x:f>HYPERLINK("https://tenristudy.blogspot.com/2020/05/blog-post_96.html","點這裡閱讀原文")</x:f>
        <x:v>HYPERLINK is not implemented. linkLocation=https://tenristudy.blogspot.com/2020/05/blog-post_96.html, friendlyName=點這裡閱讀原文</x:v>
      </x:c>
      <x:c r="N27" s="32" t="str"/>
      <x:c r="O27" s="32" t="str"/>
    </x:row>
    <x:row r="28">
      <x:c r="A28" s="30" t="n">
        <x:v>68</x:v>
      </x:c>
      <x:c r="B28" s="31" t="str">
        <x:v>優先轉入</x:v>
      </x:c>
      <x:c r="C28" s="32" t="str">
        <x:v>目前網站未找到對應文章，正文完整，具有教理、見證或歷史保存價值。</x:v>
      </x:c>
      <x:c r="D28" s="33" t="str">
        <x:v>待決定</x:v>
      </x:c>
      <x:c r="E28" s="34" t="d">
        <x:v>2020-05-19T13:14:00.000Z</x:v>
      </x:c>
      <x:c r="F28" s="32" t="str">
        <x:v>心通りの家に生まれる( 出生於符合心靈成長層次的家庭 )</x:v>
      </x:c>
      <x:c r="G28" s="32" t="str">
        <x:v>群組記事本</x:v>
      </x:c>
      <x:c r="H28" s="30" t="n">
        <x:v>0</x:v>
      </x:c>
      <x:c r="I28" s="30" t="n">
        <x:v>0</x:v>
      </x:c>
      <x:c r="J28" s="30" t="n">
        <x:v>2310</x:v>
      </x:c>
      <x:c r="K28" s="32" t="str">
        <x:v>無 YouTube</x:v>
      </x:c>
      <x:c r="L28" s="32" t="str">
        <x:v>成國月報 NO,57 2017年9月1日号 成國分教会長 酒井耕平 心通りの家に生まれる 殺人事件などの凶悪犯罪が起きると、その犯罪を犯した理由や、犯人の育った家庭環境がどうであったかと問題になります。 人格が形成されていくのには、育てた親と、育った環境の影響が大きく関係しているから、親や生い立ちに原因を探すのでしょう…</x:v>
      </x:c>
      <x:c r="M28" s="35" t="e">
        <x:f>HYPERLINK("https://tenristudy.blogspot.com/2020/05/blog-post_47.html","點這裡閱讀原文")</x:f>
        <x:v>HYPERLINK is not implemented. linkLocation=https://tenristudy.blogspot.com/2020/05/blog-post_47.html, friendlyName=點這裡閱讀原文</x:v>
      </x:c>
      <x:c r="N28" s="32" t="str"/>
      <x:c r="O28" s="32" t="str"/>
    </x:row>
    <x:row r="29">
      <x:c r="A29" s="30" t="n">
        <x:v>69</x:v>
      </x:c>
      <x:c r="B29" s="31" t="str">
        <x:v>優先轉入</x:v>
      </x:c>
      <x:c r="C29" s="32" t="str">
        <x:v>目前網站未找到對應文章，正文完整，具有教理、見證或歷史保存價值。</x:v>
      </x:c>
      <x:c r="D29" s="33" t="str">
        <x:v>待決定</x:v>
      </x:c>
      <x:c r="E29" s="34" t="d">
        <x:v>2020-05-19T13:23:00.000Z</x:v>
      </x:c>
      <x:c r="F29" s="32" t="str">
        <x:v>借りたものと、もらったものの違い</x:v>
      </x:c>
      <x:c r="G29" s="32" t="str">
        <x:v>群組記事本</x:v>
      </x:c>
      <x:c r="H29" s="30" t="n">
        <x:v>0</x:v>
      </x:c>
      <x:c r="I29" s="30" t="n">
        <x:v>0</x:v>
      </x:c>
      <x:c r="J29" s="30" t="n">
        <x:v>2188</x:v>
      </x:c>
      <x:c r="K29" s="32" t="str">
        <x:v>無 YouTube</x:v>
      </x:c>
      <x:c r="L29" s="32" t="str">
        <x:v>成國月報NO,58 2017年10月1日号 成國分教会長 酒井耕平 中文翻訳 謝秋僅 借りたものと、もらったものの違い 娘が図書館で絵本を借りました。家に帰って早速絵本を読んでいると、クレヨンで絵本に落書きしようとしていたのです。 返さなければならないから大切にするよう、妻が言っていたようですが、まさか落書きするとは思…</x:v>
      </x:c>
      <x:c r="M29" s="35" t="e">
        <x:f>HYPERLINK("https://tenristudy.blogspot.com/2020/05/blog-post_63.html","點這裡閱讀原文")</x:f>
        <x:v>HYPERLINK is not implemented. linkLocation=https://tenristudy.blogspot.com/2020/05/blog-post_63.html, friendlyName=點這裡閱讀原文</x:v>
      </x:c>
      <x:c r="N29" s="32" t="str"/>
      <x:c r="O29" s="32" t="str"/>
    </x:row>
    <x:row r="30">
      <x:c r="A30" s="30" t="n">
        <x:v>70</x:v>
      </x:c>
      <x:c r="B30" s="31" t="str">
        <x:v>優先轉入</x:v>
      </x:c>
      <x:c r="C30" s="32" t="str">
        <x:v>目前網站未找到對應文章，正文完整，具有教理、見證或歷史保存價值。</x:v>
      </x:c>
      <x:c r="D30" s="33" t="str">
        <x:v>待決定</x:v>
      </x:c>
      <x:c r="E30" s="34" t="d">
        <x:v>2020-05-19T13:28:00.000Z</x:v>
      </x:c>
      <x:c r="F30" s="32" t="str">
        <x:v>信仰分享(八)</x:v>
      </x:c>
      <x:c r="G30" s="32" t="str"/>
      <x:c r="H30" s="30" t="n">
        <x:v>0</x:v>
      </x:c>
      <x:c r="I30" s="30" t="n">
        <x:v>0</x:v>
      </x:c>
      <x:c r="J30" s="30" t="n">
        <x:v>1762</x:v>
      </x:c>
      <x:c r="K30" s="32" t="str">
        <x:v>無 YouTube</x:v>
      </x:c>
      <x:c r="L30" s="32" t="str">
        <x:v>許文和大哥1070626傳道廳信仰分享 廳長.各位教會長.佈教所長.先進.信者大家好，我是山名.東門教會~新莊佈教所所屬大和講社 許文和。今日很榮幸受廳長指派,有這個機會與大家分享,個人信仰的過程與感想~請大家多多指教。(打四個拍子) 一.信仰的起源 我是初代信仰,之前家中並沒接觸過天理教,大約小學三年級時,常到自家頂…</x:v>
      </x:c>
      <x:c r="M30" s="35" t="e">
        <x:f>HYPERLINK("https://tenristudy.blogspot.com/2020/05/blog-post_45.html","點這裡閱讀原文")</x:f>
        <x:v>HYPERLINK is not implemented. linkLocation=https://tenristudy.blogspot.com/2020/05/blog-post_45.html, friendlyName=點這裡閱讀原文</x:v>
      </x:c>
      <x:c r="N30" s="32" t="str"/>
      <x:c r="O30" s="32" t="str"/>
    </x:row>
    <x:row r="31">
      <x:c r="A31" s="30" t="n">
        <x:v>71</x:v>
      </x:c>
      <x:c r="B31" s="31" t="str">
        <x:v>優先轉入</x:v>
      </x:c>
      <x:c r="C31" s="32" t="str">
        <x:v>目前網站未找到對應文章，正文完整，具有教理、見證或歷史保存價值。</x:v>
      </x:c>
      <x:c r="D31" s="33" t="str">
        <x:v>待決定</x:v>
      </x:c>
      <x:c r="E31" s="34" t="d">
        <x:v>2020-05-19T13:36:00.000Z</x:v>
      </x:c>
      <x:c r="F31" s="32" t="str">
        <x:v>マイナスからのスタート(從困境再出發)</x:v>
      </x:c>
      <x:c r="G31" s="32" t="str">
        <x:v>群組記事本</x:v>
      </x:c>
      <x:c r="H31" s="30" t="n">
        <x:v>0</x:v>
      </x:c>
      <x:c r="I31" s="30" t="n">
        <x:v>0</x:v>
      </x:c>
      <x:c r="J31" s="30" t="n">
        <x:v>2235</x:v>
      </x:c>
      <x:c r="K31" s="32" t="str">
        <x:v>無 YouTube</x:v>
      </x:c>
      <x:c r="L31" s="32" t="str">
        <x:v>成國月報NO,59 2017-11-1 成國分教会長酒井耕平 中文翻訳 謝秋僅 マイナスからのスタート 人間はできるだけ苦労を避けて、楽を求めるものです。これは当然のことです。 ところが、「苦労は財産」だとか「良薬口に苦し」などと言われて、苦労することで人間は成長するのだと教えられます。 無理を通すから活性化する 例え…</x:v>
      </x:c>
      <x:c r="M31" s="35" t="e">
        <x:f>HYPERLINK("https://tenristudy.blogspot.com/2020/05/blog-post_51.html","點這裡閱讀原文")</x:f>
        <x:v>HYPERLINK is not implemented. linkLocation=https://tenristudy.blogspot.com/2020/05/blog-post_51.html, friendlyName=點這裡閱讀原文</x:v>
      </x:c>
      <x:c r="N31" s="32" t="str"/>
      <x:c r="O31" s="32" t="str"/>
    </x:row>
    <x:row r="32">
      <x:c r="A32" s="30" t="n">
        <x:v>72</x:v>
      </x:c>
      <x:c r="B32" s="31" t="str">
        <x:v>優先轉入</x:v>
      </x:c>
      <x:c r="C32" s="32" t="str">
        <x:v>目前網站未找到對應文章，正文完整，具有教理、見證或歷史保存價值。</x:v>
      </x:c>
      <x:c r="D32" s="33" t="str">
        <x:v>待決定</x:v>
      </x:c>
      <x:c r="E32" s="34" t="d">
        <x:v>2020-05-19T14:06:00.000Z</x:v>
      </x:c>
      <x:c r="F32" s="32" t="str">
        <x:v>信仰分享(九)</x:v>
      </x:c>
      <x:c r="G32" s="32" t="str">
        <x:v>群組記事本</x:v>
      </x:c>
      <x:c r="H32" s="30" t="n">
        <x:v>0</x:v>
      </x:c>
      <x:c r="I32" s="30" t="n">
        <x:v>7</x:v>
      </x:c>
      <x:c r="J32" s="30" t="n">
        <x:v>4652</x:v>
      </x:c>
      <x:c r="K32" s="32" t="str">
        <x:v>無 YouTube</x:v>
      </x:c>
      <x:c r="L32" s="32" t="str">
        <x:v>作者 羅文鳳 女士 大家早安！ 我也寫了&lt;在天理教家庭長大的第三代信仰心情&gt; 想在這和大家分享， 敬請各位看後給予指教更正。 我的祖父羅粗皮老先生，在30歲那年患了重病，久病不起，後因受到父母神的護佑，健康的活下來，又生了我的父親，叔叔，六姑媽。我的祖父感恩父母神的護佑，於民國27年在嘉義後潭設立了後潭佈教所（當時稱為…</x:v>
      </x:c>
      <x:c r="M32" s="35" t="e">
        <x:f>HYPERLINK("https://tenristudy.blogspot.com/2020/05/blog-post_71.html","點這裡閱讀原文")</x:f>
        <x:v>HYPERLINK is not implemented. linkLocation=https://tenristudy.blogspot.com/2020/05/blog-post_71.html, friendlyName=點這裡閱讀原文</x:v>
      </x:c>
      <x:c r="N32" s="32" t="str"/>
      <x:c r="O32" s="32" t="str"/>
    </x:row>
    <x:row r="33">
      <x:c r="A33" s="30" t="n">
        <x:v>74</x:v>
      </x:c>
      <x:c r="B33" s="31" t="str">
        <x:v>優先轉入</x:v>
      </x:c>
      <x:c r="C33" s="32" t="str">
        <x:v>目前網站未找到對應文章，正文完整，具有教理、見證或歷史保存價值。</x:v>
      </x:c>
      <x:c r="D33" s="33" t="str">
        <x:v>待決定</x:v>
      </x:c>
      <x:c r="E33" s="34" t="d">
        <x:v>2020-05-22T13:13:00.000Z</x:v>
      </x:c>
      <x:c r="F33" s="32" t="str">
        <x:v>縱向傳道考 跟父親學到的教導</x:v>
      </x:c>
      <x:c r="G33" s="32" t="str">
        <x:v>群組記事本、表哥</x:v>
      </x:c>
      <x:c r="H33" s="30" t="n">
        <x:v>0</x:v>
      </x:c>
      <x:c r="I33" s="30" t="n">
        <x:v>5</x:v>
      </x:c>
      <x:c r="J33" s="30" t="n">
        <x:v>2468</x:v>
      </x:c>
      <x:c r="K33" s="32" t="str">
        <x:v>無 YouTube</x:v>
      </x:c>
      <x:c r="L33" s="32" t="str">
        <x:v>謝匡宇先生譯自&lt;育成&gt; 這是三濱先生送我的小冊子，是少年會的刊物，給教會做成培育年輕人材的雜誌。裡面有一篇記者訪問三濱先生對父親的印象。 少年會刊物 育成NEWS 立教180年 第81期 三濱先生專訪 縱向傳道考 跟父親學到的教導 第四回 三濱善朗 本部員 昭和12年(1937年)上海出生。歷任天理大學畢，台灣傳道廳長…</x:v>
      </x:c>
      <x:c r="M33" s="35" t="e">
        <x:f>HYPERLINK("https://tenristudy.blogspot.com/2020/05/blog-post_22.html","點這裡閱讀原文")</x:f>
        <x:v>HYPERLINK is not implemented. linkLocation=https://tenristudy.blogspot.com/2020/05/blog-post_22.html, friendlyName=點這裡閱讀原文</x:v>
      </x:c>
      <x:c r="N33" s="32" t="str"/>
      <x:c r="O33" s="32" t="str"/>
    </x:row>
    <x:row r="34">
      <x:c r="A34" s="30" t="n">
        <x:v>75</x:v>
      </x:c>
      <x:c r="B34" s="31" t="str">
        <x:v>優先轉入</x:v>
      </x:c>
      <x:c r="C34" s="32" t="str">
        <x:v>目前網站未找到對應文章，正文完整，具有教理、見證或歷史保存價值。</x:v>
      </x:c>
      <x:c r="D34" s="33" t="str">
        <x:v>待決定</x:v>
      </x:c>
      <x:c r="E34" s="34" t="d">
        <x:v>2020-05-22T13:32:00.000Z</x:v>
      </x:c>
      <x:c r="F34" s="32" t="str">
        <x:v>長壽的秘訣就在父母神的教導裡</x:v>
      </x:c>
      <x:c r="G34" s="32" t="str">
        <x:v>群組記事本</x:v>
      </x:c>
      <x:c r="H34" s="30" t="n">
        <x:v>0</x:v>
      </x:c>
      <x:c r="I34" s="30" t="n">
        <x:v>0</x:v>
      </x:c>
      <x:c r="J34" s="30" t="n">
        <x:v>794</x:v>
      </x:c>
      <x:c r="K34" s="32" t="str">
        <x:v>無 YouTube</x:v>
      </x:c>
      <x:c r="L34" s="32" t="str">
        <x:v>前幾天跟一位八十五歲的老爺爺聊天。 「爺爺，您身體一直都這麼健朗，真好。」 「其實有一件事讓我很擔心」 「您這麼健朗，是什麼事讓您擔心呢？」 「你看，我的手相，生命線好短。」 我心想，您都八十五歲了，身體又這麼健朗，手相？有什麼關係。但是我馬上想到，這位爺爺是以一百十五歲為目標，因此在意生命線的長短吧！ 各位是否知道大…</x:v>
      </x:c>
      <x:c r="M34" s="35" t="e">
        <x:f>HYPERLINK("https://tenristudy.blogspot.com/2020/05/blog-post_64.html","點這裡閱讀原文")</x:f>
        <x:v>HYPERLINK is not implemented. linkLocation=https://tenristudy.blogspot.com/2020/05/blog-post_64.html, friendlyName=點這裡閱讀原文</x:v>
      </x:c>
      <x:c r="N34" s="32" t="str"/>
      <x:c r="O34" s="32" t="str"/>
    </x:row>
    <x:row r="35">
      <x:c r="A35" s="30" t="n">
        <x:v>76</x:v>
      </x:c>
      <x:c r="B35" s="31" t="str">
        <x:v>優先轉入</x:v>
      </x:c>
      <x:c r="C35" s="32" t="str">
        <x:v>目前網站未找到對應文章，正文完整，具有教理、見證或歷史保存價值。</x:v>
      </x:c>
      <x:c r="D35" s="33" t="str">
        <x:v>待決定</x:v>
      </x:c>
      <x:c r="E35" s="34" t="d">
        <x:v>2020-05-22T13:33:00.000Z</x:v>
      </x:c>
      <x:c r="F35" s="32" t="str">
        <x:v>神授之理（おさづけのり）</x:v>
      </x:c>
      <x:c r="G35" s="32" t="str">
        <x:v>群組記事本</x:v>
      </x:c>
      <x:c r="H35" s="30" t="n">
        <x:v>0</x:v>
      </x:c>
      <x:c r="I35" s="30" t="n">
        <x:v>0</x:v>
      </x:c>
      <x:c r="J35" s="30" t="n">
        <x:v>527</x:v>
      </x:c>
      <x:c r="K35" s="32" t="str">
        <x:v>無 YouTube</x:v>
      </x:c>
      <x:c r="L35" s="32" t="str">
        <x:v>人們用心體會父母神意，日日以真誠之心過生活，父母神即會接納這種心意，而授與「神授之理」。 「神授之理」是父母神以深厚的慈心，為拯救任何疾病而賜與，神授之理是世界上最尊貴的。拜領神授之理的人，以真誠之心，對有病痛的人們行使神授，任何疾病均可消除。 當然，並非行使神授的人有救人的能力。而是抱著無論如何也要拯救病人的真誠之心…</x:v>
      </x:c>
      <x:c r="M35" s="35" t="e">
        <x:f>HYPERLINK("https://tenristudy.blogspot.com/2020/05/blog-post_33.html","點這裡閱讀原文")</x:f>
        <x:v>HYPERLINK is not implemented. linkLocation=https://tenristudy.blogspot.com/2020/05/blog-post_33.html, friendlyName=點這裡閱讀原文</x:v>
      </x:c>
      <x:c r="N35" s="32" t="str"/>
      <x:c r="O35" s="32" t="str"/>
    </x:row>
    <x:row r="36">
      <x:c r="A36" s="30" t="n">
        <x:v>77</x:v>
      </x:c>
      <x:c r="B36" s="31" t="str">
        <x:v>優先轉入</x:v>
      </x:c>
      <x:c r="C36" s="32" t="str">
        <x:v>目前網站未找到對應文章，正文完整，具有教理、見證或歷史保存價值。</x:v>
      </x:c>
      <x:c r="D36" s="33" t="str">
        <x:v>待決定</x:v>
      </x:c>
      <x:c r="E36" s="34" t="d">
        <x:v>2020-05-22T13:34:00.000Z</x:v>
      </x:c>
      <x:c r="F36" s="32" t="str">
        <x:v>別席（べっせき）</x:v>
      </x:c>
      <x:c r="G36" s="32" t="str">
        <x:v>群組記事本</x:v>
      </x:c>
      <x:c r="H36" s="30" t="n">
        <x:v>0</x:v>
      </x:c>
      <x:c r="I36" s="30" t="n">
        <x:v>0</x:v>
      </x:c>
      <x:c r="J36" s="30" t="n">
        <x:v>654</x:v>
      </x:c>
      <x:c r="K36" s="32" t="str">
        <x:v>無 YouTube</x:v>
      </x:c>
      <x:c r="L36" s="32" t="str">
        <x:v>別席是由特定的傳達人員，在親里特定的場所，講述父母神的教理，與在親里或各自教會及其他各種集會的演講，截然不同。其內容是依據御指圖所制定的講槁，每位講師的內容都一樣。 「別席」是聽解創造人類世界的父母神意，依照教理確實反省每日的心態，學習生活準則及真正地體會康樂生活，體會父母神意，了悟真正的生活準則及態度才是重要。 若在…</x:v>
      </x:c>
      <x:c r="M36" s="35" t="e">
        <x:f>HYPERLINK("https://tenristudy.blogspot.com/2020/05/blog-post_74.html","點這裡閱讀原文")</x:f>
        <x:v>HYPERLINK is not implemented. linkLocation=https://tenristudy.blogspot.com/2020/05/blog-post_74.html, friendlyName=點這裡閱讀原文</x:v>
      </x:c>
      <x:c r="N36" s="32" t="str"/>
      <x:c r="O36" s="32" t="str"/>
    </x:row>
    <x:row r="37">
      <x:c r="A37" s="30" t="n">
        <x:v>78</x:v>
      </x:c>
      <x:c r="B37" s="31" t="str">
        <x:v>優先轉入</x:v>
      </x:c>
      <x:c r="C37" s="32" t="str">
        <x:v>目前網站未找到對應文章，正文完整，具有教理、見證或歷史保存價值。</x:v>
      </x:c>
      <x:c r="D37" s="33" t="str">
        <x:v>待決定</x:v>
      </x:c>
      <x:c r="E37" s="34" t="d">
        <x:v>2020-05-22T13:39:00.000Z</x:v>
      </x:c>
      <x:c r="F37" s="32" t="str">
        <x:v>教祖已經教我們了</x:v>
      </x:c>
      <x:c r="G37" s="32" t="str">
        <x:v>群組記事本</x:v>
      </x:c>
      <x:c r="H37" s="30" t="n">
        <x:v>0</x:v>
      </x:c>
      <x:c r="I37" s="30" t="n">
        <x:v>0</x:v>
      </x:c>
      <x:c r="J37" s="30" t="n">
        <x:v>596</x:v>
      </x:c>
      <x:c r="K37" s="32" t="str">
        <x:v>無 YouTube</x:v>
      </x:c>
      <x:c r="L37" s="32" t="str">
        <x:v>前幾天在本部神殿巧遇一位朋友，稍微打了招呼，那位朋友急著問我：「在哪裡有奉行祈願聖舞？」我問他：「為甚麼問這個？」他回答說：「聽說為他人祈禱、對他人親切，自己的身體就會變好，所以我想奉行祈願聖舞。」我隨即回以：「對啊！教導裡有說『救人己必得救』。」接著這位朋友說：「最近科學證明了這個道理，人在祈禱的時候，腦部會分泌一種…</x:v>
      </x:c>
      <x:c r="M37" s="35" t="e">
        <x:f>HYPERLINK("https://tenristudy.blogspot.com/2020/05/blog-post_44.html","點這裡閱讀原文")</x:f>
        <x:v>HYPERLINK is not implemented. linkLocation=https://tenristudy.blogspot.com/2020/05/blog-post_44.html, friendlyName=點這裡閱讀原文</x:v>
      </x:c>
      <x:c r="N37" s="32" t="str"/>
      <x:c r="O37" s="32" t="str"/>
    </x:row>
    <x:row r="38">
      <x:c r="A38" s="30" t="n">
        <x:v>79</x:v>
      </x:c>
      <x:c r="B38" s="31" t="str">
        <x:v>優先轉入</x:v>
      </x:c>
      <x:c r="C38" s="32" t="str">
        <x:v>目前網站未找到對應文章，正文完整，具有教理、見證或歷史保存價值。</x:v>
      </x:c>
      <x:c r="D38" s="33" t="str">
        <x:v>待決定</x:v>
      </x:c>
      <x:c r="E38" s="34" t="d">
        <x:v>2020-05-22T13:55:00.000Z</x:v>
      </x:c>
      <x:c r="F38" s="32" t="str">
        <x:v>從『看不見』所看到的事物</x:v>
      </x:c>
      <x:c r="G38" s="32" t="str">
        <x:v>群組記事本</x:v>
      </x:c>
      <x:c r="H38" s="30" t="n">
        <x:v>0</x:v>
      </x:c>
      <x:c r="I38" s="30" t="n">
        <x:v>0</x:v>
      </x:c>
      <x:c r="J38" s="30" t="n">
        <x:v>1905</x:v>
      </x:c>
      <x:c r="K38" s="32" t="str">
        <x:v>無 YouTube</x:v>
      </x:c>
      <x:c r="L38" s="32" t="str">
        <x:v>摘譯自天理時報 這是本部佈教部社會福祉課所舉辦的第11回社會福祉大會，所邀請竹內昌彥先生以 「從『看不見』所看到的事物」 為題的演講，部分內容的報導，摘譯如下與大家分享。 首先竹田先生感謝天理教所製作的「天理教點字文庫」幫助許多視障者取得業餘無線技士的執照。接著，他表示，身為視障者的我，在此有兩件事要拜託大家。 一、請…</x:v>
      </x:c>
      <x:c r="M38" s="35" t="e">
        <x:f>HYPERLINK("https://tenristudy.blogspot.com/2020/05/blog-post_50.html","點這裡閱讀原文")</x:f>
        <x:v>HYPERLINK is not implemented. linkLocation=https://tenristudy.blogspot.com/2020/05/blog-post_50.html, friendlyName=點這裡閱讀原文</x:v>
      </x:c>
      <x:c r="N38" s="32" t="str"/>
      <x:c r="O38" s="32" t="str"/>
    </x:row>
    <x:row r="39">
      <x:c r="A39" s="30" t="n">
        <x:v>80</x:v>
      </x:c>
      <x:c r="B39" s="31" t="str">
        <x:v>優先轉入</x:v>
      </x:c>
      <x:c r="C39" s="32" t="str">
        <x:v>目前網站未找到對應文章，正文完整，具有教理、見證或歷史保存價值。</x:v>
      </x:c>
      <x:c r="D39" s="33" t="str">
        <x:v>待決定</x:v>
      </x:c>
      <x:c r="E39" s="34" t="d">
        <x:v>2020-05-22T14:00:00.000Z</x:v>
      </x:c>
      <x:c r="F39" s="32" t="str">
        <x:v>『命運下沉的法則』！？</x:v>
      </x:c>
      <x:c r="G39" s="32" t="str">
        <x:v>群組記事本</x:v>
      </x:c>
      <x:c r="H39" s="30" t="n">
        <x:v>0</x:v>
      </x:c>
      <x:c r="I39" s="30" t="n">
        <x:v>0</x:v>
      </x:c>
      <x:c r="J39" s="30" t="n">
        <x:v>1646</x:v>
      </x:c>
      <x:c r="K39" s="32" t="str">
        <x:v>無 YouTube</x:v>
      </x:c>
      <x:c r="L39" s="32" t="str">
        <x:v>教祖除了用口說、用筆寫，並親身示範，教導了我們人類得救的方法。 然而，就像將水倒入篩子，水並不會留在篩子裡，會漏光光一樣，不管自認多麼致力於實踐教理，如果日常的心念或行為不符合神意，那麼得救的時機也會延後，命運也會下沉。 各位有沒有聽過『命運下沉的法則』？……沒有？當然沒有，因為這是我自創的（笑） 如果這樣的話，命運就…</x:v>
      </x:c>
      <x:c r="M39" s="35" t="e">
        <x:f>HYPERLINK("https://tenristudy.blogspot.com/2020/05/blog-post_62.html","點這裡閱讀原文")</x:f>
        <x:v>HYPERLINK is not implemented. linkLocation=https://tenristudy.blogspot.com/2020/05/blog-post_62.html, friendlyName=點這裡閱讀原文</x:v>
      </x:c>
      <x:c r="N39" s="32" t="str"/>
      <x:c r="O39" s="32" t="str"/>
    </x:row>
    <x:row r="40">
      <x:c r="A40" s="30" t="n">
        <x:v>82</x:v>
      </x:c>
      <x:c r="B40" s="31" t="str">
        <x:v>優先轉入</x:v>
      </x:c>
      <x:c r="C40" s="32" t="str">
        <x:v>目前網站未找到對應文章，正文完整，具有教理、見證或歷史保存價值。</x:v>
      </x:c>
      <x:c r="D40" s="33" t="str">
        <x:v>待決定</x:v>
      </x:c>
      <x:c r="E40" s="34" t="d">
        <x:v>2020-05-22T14:06:00.000Z</x:v>
      </x:c>
      <x:c r="F40" s="32" t="str">
        <x:v>關於心念</x:v>
      </x:c>
      <x:c r="G40" s="32" t="str">
        <x:v>群組記事本</x:v>
      </x:c>
      <x:c r="H40" s="30" t="n">
        <x:v>0</x:v>
      </x:c>
      <x:c r="I40" s="30" t="n">
        <x:v>0</x:v>
      </x:c>
      <x:c r="J40" s="30" t="n">
        <x:v>727</x:v>
      </x:c>
      <x:c r="K40" s="32" t="str">
        <x:v>無 YouTube</x:v>
      </x:c>
      <x:c r="L40" s="32" t="str">
        <x:v>翻譯自優吐天理教時間演講內容 教祖說，不管多麼黑暗的道路，如果所持心念正向，就能通過，不管多明亮的道路如果沒有心也無法通過。也就是說不管處於多麼艱難困苦的環境，端看你是以怎樣的心境面對，仍然可以踴躍的過康樂生活。 人，所發生的一些問題都是由於對於所看到的，所聽到的，產生不滿的心態而造成的，教祖告訴我們，只要明朗陽光就能…</x:v>
      </x:c>
      <x:c r="M40" s="35" t="e">
        <x:f>HYPERLINK("https://tenristudy.blogspot.com/2020/05/blog-post_4.html","點這裡閱讀原文")</x:f>
        <x:v>HYPERLINK is not implemented. linkLocation=https://tenristudy.blogspot.com/2020/05/blog-post_4.html, friendlyName=點這裡閱讀原文</x:v>
      </x:c>
      <x:c r="N40" s="32" t="str"/>
      <x:c r="O40" s="32" t="str"/>
    </x:row>
    <x:row r="41">
      <x:c r="A41" s="30" t="n">
        <x:v>83</x:v>
      </x:c>
      <x:c r="B41" s="31" t="str">
        <x:v>優先轉入</x:v>
      </x:c>
      <x:c r="C41" s="32" t="str">
        <x:v>目前網站未找到對應文章，且含可保留的 YouTube 影音內容。</x:v>
      </x:c>
      <x:c r="D41" s="33" t="str">
        <x:v>待決定</x:v>
      </x:c>
      <x:c r="E41" s="34" t="d">
        <x:v>2020-06-01T13:41:00.000Z</x:v>
      </x:c>
      <x:c r="F41" s="32" t="str">
        <x:v>1.「所有事物皆按照自己的內心而顯現」</x:v>
      </x:c>
      <x:c r="G41" s="32" t="str">
        <x:v>千遍</x:v>
      </x:c>
      <x:c r="H41" s="30" t="n">
        <x:v>1</x:v>
      </x:c>
      <x:c r="I41" s="30" t="n">
        <x:v>0</x:v>
      </x:c>
      <x:c r="J41" s="30" t="n">
        <x:v>1372</x:v>
      </x:c>
      <x:c r="K41" s="32" t="str">
        <x:v>YouTube 1個：轉入時改用 youtube-nocookie.com 響應式播放器</x:v>
      </x:c>
      <x:c r="L41" s="32" t="str">
        <x:v>各位信者大家早安 青年會本部從二月一日開始，每周一至周六早上八點，在youtube上撥放名為「千遍」的頻道。這是由青年會員從借貸之理中分享自己的信仰心得。因為是日文的關係，所以我(註 高政)與本愛慶心教會的會長夫人黃意萍小姐，預定於今天開始盡量每天翻譯一則給大家看。 我們會在頻道的留言處，留下那一篇的翻譯文。 內容大概…</x:v>
      </x:c>
      <x:c r="M41" s="35" t="e">
        <x:f>HYPERLINK("https://tenristudy.blogspot.com/2020/06/1.html","點這裡閱讀原文")</x:f>
        <x:v>HYPERLINK is not implemented. linkLocation=https://tenristudy.blogspot.com/2020/06/1.html, friendlyName=點這裡閱讀原文</x:v>
      </x:c>
      <x:c r="N41" s="32" t="str"/>
      <x:c r="O41" s="32" t="str"/>
    </x:row>
    <x:row r="42">
      <x:c r="A42" s="30" t="n">
        <x:v>84</x:v>
      </x:c>
      <x:c r="B42" s="31" t="str">
        <x:v>優先轉入</x:v>
      </x:c>
      <x:c r="C42" s="32" t="str">
        <x:v>目前網站未找到對應文章，正文完整，具有教理、見證或歷史保存價值。</x:v>
      </x:c>
      <x:c r="D42" s="33" t="str">
        <x:v>待決定</x:v>
      </x:c>
      <x:c r="E42" s="34" t="d">
        <x:v>2020-06-02T13:21:00.000Z</x:v>
      </x:c>
      <x:c r="F42" s="32" t="str">
        <x:v>真誠的祈願必蒙父母神接納</x:v>
      </x:c>
      <x:c r="G42" s="32" t="str">
        <x:v>群組記事本</x:v>
      </x:c>
      <x:c r="H42" s="30" t="n">
        <x:v>0</x:v>
      </x:c>
      <x:c r="I42" s="30" t="n">
        <x:v>0</x:v>
      </x:c>
      <x:c r="J42" s="30" t="n">
        <x:v>624</x:v>
      </x:c>
      <x:c r="K42" s="32" t="str">
        <x:v>無 YouTube</x:v>
      </x:c>
      <x:c r="L42" s="32" t="str">
        <x:v>人都有慾望，父母神說，世上所有人都有慾望，人活在世上，有些慾望是必要的，所以某種程度的慾望是被允許的。 但是，包括我在內，人的慾望總是過多，最明顯的例子是在拜拜的時候，這時有許許多多的人向父母神祈求這個、祈求那個。本部的大祭或是月次祭時，有幾萬人回到原地參拜，父母神真是忙得不可開交，有這麼多的人同時向父母神要求這、要求…</x:v>
      </x:c>
      <x:c r="M42" s="35" t="e">
        <x:f>HYPERLINK("https://tenristudy.blogspot.com/2020/06/blog-post.html","點這裡閱讀原文")</x:f>
        <x:v>HYPERLINK is not implemented. linkLocation=https://tenristudy.blogspot.com/2020/06/blog-post.html, friendlyName=點這裡閱讀原文</x:v>
      </x:c>
      <x:c r="N42" s="32" t="str"/>
      <x:c r="O42" s="32" t="str"/>
    </x:row>
    <x:row r="43">
      <x:c r="A43" s="30" t="n">
        <x:v>85</x:v>
      </x:c>
      <x:c r="B43" s="31" t="str">
        <x:v>優先轉入</x:v>
      </x:c>
      <x:c r="C43" s="32" t="str">
        <x:v>目前網站未找到對應文章，正文完整，具有教理、見證或歷史保存價值。</x:v>
      </x:c>
      <x:c r="D43" s="33" t="str">
        <x:v>待決定</x:v>
      </x:c>
      <x:c r="E43" s="34" t="d">
        <x:v>2020-06-02T13:24:00.000Z</x:v>
      </x:c>
      <x:c r="F43" s="32" t="str">
        <x:v>『這樣應該沒關係吧！』的心態</x:v>
      </x:c>
      <x:c r="G43" s="32" t="str">
        <x:v>群組記事本</x:v>
      </x:c>
      <x:c r="H43" s="30" t="n">
        <x:v>0</x:v>
      </x:c>
      <x:c r="I43" s="30" t="n">
        <x:v>0</x:v>
      </x:c>
      <x:c r="J43" s="30" t="n">
        <x:v>657</x:v>
      </x:c>
      <x:c r="K43" s="32" t="str">
        <x:v>無 YouTube</x:v>
      </x:c>
      <x:c r="L43" s="32" t="str">
        <x:v>去超市買東西時，若看到試吃的攤位會忍不住拿一些往嘴裡送，不知道各位是否也曾有過類似的經驗，若覺得好吃就毫不猶豫地拿一包放進籃子裡。 同樣是買東西，我發現有兩種人，一種人是，把商品放進購物籃裡後，應該是想「反正我要買」所以就又多拿一些放進嘴裡，另一種人則是「已經嚐過了，回家再慢慢品嚐吧！」不會再拿。前者的想法是，我有買啊…</x:v>
      </x:c>
      <x:c r="M43" s="35" t="e">
        <x:f>HYPERLINK("https://tenristudy.blogspot.com/2020/06/blog-post_2.html","點這裡閱讀原文")</x:f>
        <x:v>HYPERLINK is not implemented. linkLocation=https://tenristudy.blogspot.com/2020/06/blog-post_2.html, friendlyName=點這裡閱讀原文</x:v>
      </x:c>
      <x:c r="N43" s="32" t="str"/>
      <x:c r="O43" s="32" t="str"/>
    </x:row>
    <x:row r="44">
      <x:c r="A44" s="30" t="n">
        <x:v>86</x:v>
      </x:c>
      <x:c r="B44" s="31" t="str">
        <x:v>優先轉入</x:v>
      </x:c>
      <x:c r="C44" s="32" t="str">
        <x:v>目前網站未找到對應文章，正文完整，具有教理、見證或歷史保存價值。</x:v>
      </x:c>
      <x:c r="D44" s="33" t="str">
        <x:v>待決定</x:v>
      </x:c>
      <x:c r="E44" s="34" t="d">
        <x:v>2020-06-02T13:34:59.999Z</x:v>
      </x:c>
      <x:c r="F44" s="32" t="str">
        <x:v>成國月報NO,60　2017年12月号</x:v>
      </x:c>
      <x:c r="G44" s="32" t="str">
        <x:v>群組記事本</x:v>
      </x:c>
      <x:c r="H44" s="30" t="n">
        <x:v>0</x:v>
      </x:c>
      <x:c r="I44" s="30" t="n">
        <x:v>0</x:v>
      </x:c>
      <x:c r="J44" s="30" t="n">
        <x:v>2110</x:v>
      </x:c>
      <x:c r="K44" s="32" t="str">
        <x:v>無 YouTube</x:v>
      </x:c>
      <x:c r="L44" s="32" t="str">
        <x:v>以前有一位住在京都，大家稱之為「真好！源先生」，日常生活中，源先生不論遇到什麼事情都說：「感恩！真好！」 有一次，他跌了一跤，撞到額頭，腫起一個大包。一般人，遇到這種情形，會想「真衰！真倒楣！」。周圍的人心想，再怎麼樣，源先生也不可能說：「真好吧！」但是，源先生仍然說：「感恩！感恩！真好！我還有疼痛的感覺，表示我還活著…</x:v>
      </x:c>
      <x:c r="M44" s="35" t="e">
        <x:f>HYPERLINK("https://tenristudy.blogspot.com/2020/06/no60201712.html","點這裡閱讀原文")</x:f>
        <x:v>HYPERLINK is not implemented. linkLocation=https://tenristudy.blogspot.com/2020/06/no60201712.html, friendlyName=點這裡閱讀原文</x:v>
      </x:c>
      <x:c r="N44" s="32" t="str"/>
      <x:c r="O44" s="32" t="str"/>
    </x:row>
    <x:row r="45">
      <x:c r="A45" s="30" t="n">
        <x:v>87</x:v>
      </x:c>
      <x:c r="B45" s="31" t="str">
        <x:v>優先轉入</x:v>
      </x:c>
      <x:c r="C45" s="32" t="str">
        <x:v>目前網站未找到對應文章，正文完整，具有教理、見證或歷史保存價值。</x:v>
      </x:c>
      <x:c r="D45" s="33" t="str">
        <x:v>待決定</x:v>
      </x:c>
      <x:c r="E45" s="34" t="d">
        <x:v>2020-06-02T13:36:00.000Z</x:v>
      </x:c>
      <x:c r="F45" s="32" t="str">
        <x:v>成國月報NO,61　2018年1月1日号</x:v>
      </x:c>
      <x:c r="G45" s="32" t="str">
        <x:v>群組記事本</x:v>
      </x:c>
      <x:c r="H45" s="30" t="n">
        <x:v>0</x:v>
      </x:c>
      <x:c r="I45" s="30" t="n">
        <x:v>0</x:v>
      </x:c>
      <x:c r="J45" s="30" t="n">
        <x:v>2156</x:v>
      </x:c>
      <x:c r="K45" s="32" t="str">
        <x:v>無 YouTube</x:v>
      </x:c>
      <x:c r="L45" s="32" t="str">
        <x:v>中文翻訳 謝秋僅 相撲協會的暴力事件 從去年底開始日本的娛樂新聞節目，接二連三地報導相撲選手的暴力事件。 到底是誰的錯呢？或許見仁見智，各有不同的意見。從電視上看到，爭執的雙方各持已見，認為自己是對的，而互相指責對方，一副「想把對方殺了」「那個人最好不要再出現」的樣子。 但是，想一想，日常生活中這樣的爭鬥是不是也常在我…</x:v>
      </x:c>
      <x:c r="M45" s="35" t="e">
        <x:f>HYPERLINK("https://tenristudy.blogspot.com/2020/06/no61201811.html","點這裡閱讀原文")</x:f>
        <x:v>HYPERLINK is not implemented. linkLocation=https://tenristudy.blogspot.com/2020/06/no61201811.html, friendlyName=點這裡閱讀原文</x:v>
      </x:c>
      <x:c r="N45" s="32" t="str"/>
      <x:c r="O45" s="32" t="str"/>
    </x:row>
    <x:row r="46">
      <x:c r="A46" s="30" t="n">
        <x:v>88</x:v>
      </x:c>
      <x:c r="B46" s="31" t="str">
        <x:v>優先轉入</x:v>
      </x:c>
      <x:c r="C46" s="32" t="str">
        <x:v>目前網站未找到對應文章，正文完整，具有教理、見證或歷史保存價值。</x:v>
      </x:c>
      <x:c r="D46" s="33" t="str">
        <x:v>待決定</x:v>
      </x:c>
      <x:c r="E46" s="34" t="d">
        <x:v>2020-06-02T13:39:00.000Z</x:v>
      </x:c>
      <x:c r="F46" s="32" t="str">
        <x:v>回顧</x:v>
      </x:c>
      <x:c r="G46" s="32" t="str">
        <x:v>群組記事本</x:v>
      </x:c>
      <x:c r="H46" s="30" t="n">
        <x:v>0</x:v>
      </x:c>
      <x:c r="I46" s="30" t="n">
        <x:v>0</x:v>
      </x:c>
      <x:c r="J46" s="30" t="n">
        <x:v>2167</x:v>
      </x:c>
      <x:c r="K46" s="32" t="str">
        <x:v>無 YouTube</x:v>
      </x:c>
      <x:c r="L46" s="32" t="str">
        <x:v>由民國104年12月開始，持續返回原地參拜的行動，這個月剛好是滿三年。 為什麼要每個月持續返回原地參拜呢？除了身為教會長的責任，及參拜大教會與原地之月次祭之外，還有必須要參加大教會的會議。而且，在參拜大教會的月次祭時，有些會長或老前輩們看到本人，都會高興地對我說：「從遠地回來，辛苦了！」這令我想到，若我的付出能使他人高…</x:v>
      </x:c>
      <x:c r="M46" s="35" t="e">
        <x:f>HYPERLINK("https://tenristudy.blogspot.com/2020/06/blog-post_89.html","點這裡閱讀原文")</x:f>
        <x:v>HYPERLINK is not implemented. linkLocation=https://tenristudy.blogspot.com/2020/06/blog-post_89.html, friendlyName=點這裡閱讀原文</x:v>
      </x:c>
      <x:c r="N46" s="32" t="str"/>
      <x:c r="O46" s="32" t="str"/>
    </x:row>
    <x:row r="47">
      <x:c r="A47" s="30" t="n">
        <x:v>92</x:v>
      </x:c>
      <x:c r="B47" s="31" t="str">
        <x:v>優先轉入</x:v>
      </x:c>
      <x:c r="C47" s="32" t="str">
        <x:v>目前網站未找到對應文章，正文完整，具有教理、見證或歷史保存價值。</x:v>
      </x:c>
      <x:c r="D47" s="33" t="str">
        <x:v>待決定</x:v>
      </x:c>
      <x:c r="E47" s="34" t="d">
        <x:v>2020-09-20T13:23:00.000Z</x:v>
      </x:c>
      <x:c r="F47" s="32" t="str">
        <x:v>鏡子</x:v>
      </x:c>
      <x:c r="G47" s="32" t="str">
        <x:v>群組記事本</x:v>
      </x:c>
      <x:c r="H47" s="30" t="n">
        <x:v>0</x:v>
      </x:c>
      <x:c r="I47" s="30" t="n">
        <x:v>0</x:v>
      </x:c>
      <x:c r="J47" s="30" t="n">
        <x:v>791</x:v>
      </x:c>
      <x:c r="K47" s="32" t="str">
        <x:v>無 YouTube</x:v>
      </x:c>
      <x:c r="L47" s="32" t="str">
        <x:v>作者 黃登洲會長 2019/05/02 最近熱門的話題，我想就是日本德仁天皇的繼位，及年號由「平成」改為「令和」的話題。在看NHK的新聞報導時，有提到「三種的神器－鏡、勾玉、劍」。其中，有關「鏡」，節目中提到了退位的明仁天皇，他是在皇宮三殿中的「賢所殿」，透過「鏡」向天皇的祖先，也就是所謂的「天照大神」報告退位的事情。…</x:v>
      </x:c>
      <x:c r="M47" s="35" t="e">
        <x:f>HYPERLINK("https://tenristudy.blogspot.com/2020/09/blog-post_20.html","點這裡閱讀原文")</x:f>
        <x:v>HYPERLINK is not implemented. linkLocation=https://tenristudy.blogspot.com/2020/09/blog-post_20.html, friendlyName=點這裡閱讀原文</x:v>
      </x:c>
      <x:c r="N47" s="32" t="str"/>
      <x:c r="O47" s="32" t="str"/>
    </x:row>
    <x:row r="48">
      <x:c r="A48" s="30" t="n">
        <x:v>93</x:v>
      </x:c>
      <x:c r="B48" s="31" t="str">
        <x:v>優先轉入</x:v>
      </x:c>
      <x:c r="C48" s="32" t="str">
        <x:v>目前網站未找到對應文章，正文完整，具有教理、見證或歷史保存價值。</x:v>
      </x:c>
      <x:c r="D48" s="33" t="str">
        <x:v>待決定</x:v>
      </x:c>
      <x:c r="E48" s="34" t="d">
        <x:v>2020-09-20T13:37:00.000Z</x:v>
      </x:c>
      <x:c r="F48" s="32" t="str">
        <x:v>施行神授</x:v>
      </x:c>
      <x:c r="G48" s="32" t="str">
        <x:v>群組記事本</x:v>
      </x:c>
      <x:c r="H48" s="30" t="n">
        <x:v>0</x:v>
      </x:c>
      <x:c r="I48" s="30" t="n">
        <x:v>0</x:v>
      </x:c>
      <x:c r="J48" s="30" t="n">
        <x:v>928</x:v>
      </x:c>
      <x:c r="K48" s="32" t="str">
        <x:v>無 YouTube</x:v>
      </x:c>
      <x:c r="L48" s="32" t="str">
        <x:v>作者黃登洲會長 2019/07/30 這幾年，每個月都返回原地參拜，在原地參加早晩拜時，早晩拜後經常可看到各個團體，各個大教會的教友們，在相互地施行著神授。也就是說在原地，或是在各個教會，早晩拜後相互施行神授似乎已成為一個風潮，真的是一個可喜可賀的現象。相信很多教友都有同感吧！ 身為用木，也就是身為教祖的手足，代替教祖…</x:v>
      </x:c>
      <x:c r="M48" s="35" t="e">
        <x:f>HYPERLINK("https://tenristudy.blogspot.com/2020/09/blog-post_8.html","點這裡閱讀原文")</x:f>
        <x:v>HYPERLINK is not implemented. linkLocation=https://tenristudy.blogspot.com/2020/09/blog-post_8.html, friendlyName=點這裡閱讀原文</x:v>
      </x:c>
      <x:c r="N48" s="32" t="str"/>
      <x:c r="O48" s="32" t="str"/>
    </x:row>
    <x:row r="49">
      <x:c r="A49" s="30" t="n">
        <x:v>94</x:v>
      </x:c>
      <x:c r="B49" s="31" t="str">
        <x:v>優先轉入</x:v>
      </x:c>
      <x:c r="C49" s="32" t="str">
        <x:v>目前網站未找到對應文章，正文完整，具有教理、見證或歷史保存價值。</x:v>
      </x:c>
      <x:c r="D49" s="33" t="str">
        <x:v>待決定</x:v>
      </x:c>
      <x:c r="E49" s="34" t="d">
        <x:v>2020-09-20T13:40:00.000Z</x:v>
      </x:c>
      <x:c r="F49" s="32" t="str">
        <x:v>第一次為不是天理教信者的病人做特别祈求的經驗</x:v>
      </x:c>
      <x:c r="G49" s="32" t="str">
        <x:v>群組記事本</x:v>
      </x:c>
      <x:c r="H49" s="30" t="n">
        <x:v>0</x:v>
      </x:c>
      <x:c r="I49" s="30" t="n">
        <x:v>0</x:v>
      </x:c>
      <x:c r="J49" s="30" t="n">
        <x:v>1282</x:v>
      </x:c>
      <x:c r="K49" s="32" t="str">
        <x:v>無 YouTube</x:v>
      </x:c>
      <x:c r="L49" s="32" t="str">
        <x:v>作者 四姐 2019/08/14 8/1日從原地回到首爾的隔天早上，台灣時間6點多，接到同學的電話，告訴我，她28歲女兒在台中澄清加護病房，插管，昏迷，病因不明，我聽了傻住，同學就這麽一位女兒，如何是好，我能幫上什麽忙？ 我馬上打電話给嘉義的大弟&lt;諸羅山佈教所&gt;，把病人姓名，年龄，醫院地址，床号给大弟，請他早拜，用我名…</x:v>
      </x:c>
      <x:c r="M49" s="35" t="e">
        <x:f>HYPERLINK("https://tenristudy.blogspot.com/2020/09/blog-post_95.html","點這裡閱讀原文")</x:f>
        <x:v>HYPERLINK is not implemented. linkLocation=https://tenristudy.blogspot.com/2020/09/blog-post_95.html, friendlyName=點這裡閱讀原文</x:v>
      </x:c>
      <x:c r="N49" s="32" t="str"/>
      <x:c r="O49" s="32" t="str"/>
    </x:row>
    <x:row r="50">
      <x:c r="A50" s="30" t="n">
        <x:v>97</x:v>
      </x:c>
      <x:c r="B50" s="31" t="str">
        <x:v>優先轉入</x:v>
      </x:c>
      <x:c r="C50" s="32" t="str">
        <x:v>目前網站未找到對應文章，且含可保留的 YouTube 影音內容。</x:v>
      </x:c>
      <x:c r="D50" s="33" t="str">
        <x:v>待決定</x:v>
      </x:c>
      <x:c r="E50" s="34" t="d">
        <x:v>2020-11-13T15:30:00.000Z</x:v>
      </x:c>
      <x:c r="F50" s="32" t="str">
        <x:v>所謂網路遊戯依賴　講者：鈴木顕太郎(字幕 黃登洲會長)</x:v>
      </x:c>
      <x:c r="G50" s="32" t="str">
        <x:v>影音</x:v>
      </x:c>
      <x:c r="H50" s="30" t="n">
        <x:v>3</x:v>
      </x:c>
      <x:c r="I50" s="30" t="n">
        <x:v>0</x:v>
      </x:c>
      <x:c r="J50" s="30" t="n">
        <x:v>77</x:v>
      </x:c>
      <x:c r="K50" s="32" t="str">
        <x:v>YouTube 3個：轉入時改用 youtube-nocookie.com 響應式播放器</x:v>
      </x:c>
      <x:c r="L50" s="32" t="str">
        <x:v>點選可開啟youtube影片 所謂網路遊戲依賴〈Ⅰ〉 講者：鈴木顕太郎 所謂網路遊戯依賴〈Ⅱ〉 講者：鈴木顕太郎 所謂網路遊戲依賴〈Ⅲ〉 講者：鈴木顕太郎</x:v>
      </x:c>
      <x:c r="M50" s="35" t="e">
        <x:f>HYPERLINK("https://tenristudy.blogspot.com/2020/11/blog-post_13.html","點這裡閱讀原文")</x:f>
        <x:v>HYPERLINK is not implemented. linkLocation=https://tenristudy.blogspot.com/2020/11/blog-post_13.html, friendlyName=點這裡閱讀原文</x:v>
      </x:c>
      <x:c r="N50" s="32" t="str"/>
      <x:c r="O50" s="32" t="str"/>
    </x:row>
    <x:row r="51">
      <x:c r="A51" s="30" t="n">
        <x:v>98</x:v>
      </x:c>
      <x:c r="B51" s="31" t="str">
        <x:v>優先轉入</x:v>
      </x:c>
      <x:c r="C51" s="32" t="str">
        <x:v>目前網站未找到對應文章，且含可保留的 YouTube 影音內容。</x:v>
      </x:c>
      <x:c r="D51" s="33" t="str">
        <x:v>待決定</x:v>
      </x:c>
      <x:c r="E51" s="34" t="d">
        <x:v>2020-11-19T05:51:00.000Z</x:v>
      </x:c>
      <x:c r="F51" s="32" t="str">
        <x:v>與真實父母同行之安心 講師：伊藤芳正(字幕 黃登洲會長)</x:v>
      </x:c>
      <x:c r="G51" s="32" t="str">
        <x:v>影音</x:v>
      </x:c>
      <x:c r="H51" s="30" t="n">
        <x:v>1</x:v>
      </x:c>
      <x:c r="I51" s="30" t="n">
        <x:v>0</x:v>
      </x:c>
      <x:c r="J51" s="30" t="n">
        <x:v>0</x:v>
      </x:c>
      <x:c r="K51" s="32" t="str">
        <x:v>YouTube 1個：轉入時改用 youtube-nocookie.com 響應式播放器</x:v>
      </x:c>
      <x:c r="L51" s="32" t="str"/>
      <x:c r="M51" s="35" t="e">
        <x:f>HYPERLINK("https://tenristudy.blogspot.com/2020/11/blog-post_19.html","點這裡閱讀原文")</x:f>
        <x:v>HYPERLINK is not implemented. linkLocation=https://tenristudy.blogspot.com/2020/11/blog-post_19.html, friendlyName=點這裡閱讀原文</x:v>
      </x:c>
      <x:c r="N51" s="32" t="str"/>
      <x:c r="O51" s="32" t="str"/>
    </x:row>
    <x:row r="52">
      <x:c r="A52" s="30" t="n">
        <x:v>99</x:v>
      </x:c>
      <x:c r="B52" s="31" t="str">
        <x:v>優先轉入</x:v>
      </x:c>
      <x:c r="C52" s="32" t="str">
        <x:v>目前網站未找到對應文章，且含可保留的 YouTube 影音內容。</x:v>
      </x:c>
      <x:c r="D52" s="33" t="str">
        <x:v>待決定</x:v>
      </x:c>
      <x:c r="E52" s="34" t="d">
        <x:v>2020-11-19T05:53:00.000Z</x:v>
      </x:c>
      <x:c r="F52" s="32" t="str">
        <x:v>您知道嗎？天理教　講者 松村登美和(字幕 黃登洲會長)</x:v>
      </x:c>
      <x:c r="G52" s="32" t="str">
        <x:v>影音</x:v>
      </x:c>
      <x:c r="H52" s="30" t="n">
        <x:v>1</x:v>
      </x:c>
      <x:c r="I52" s="30" t="n">
        <x:v>0</x:v>
      </x:c>
      <x:c r="J52" s="30" t="n">
        <x:v>0</x:v>
      </x:c>
      <x:c r="K52" s="32" t="str">
        <x:v>YouTube 1個：轉入時改用 youtube-nocookie.com 響應式播放器</x:v>
      </x:c>
      <x:c r="L52" s="32" t="str"/>
      <x:c r="M52" s="35" t="e">
        <x:f>HYPERLINK("https://tenristudy.blogspot.com/2020/11/blog-post_97.html","點這裡閱讀原文")</x:f>
        <x:v>HYPERLINK is not implemented. linkLocation=https://tenristudy.blogspot.com/2020/11/blog-post_97.html, friendlyName=點這裡閱讀原文</x:v>
      </x:c>
      <x:c r="N52" s="32" t="str"/>
      <x:c r="O52" s="32" t="str"/>
    </x:row>
    <x:row r="53">
      <x:c r="A53" s="30" t="n">
        <x:v>100</x:v>
      </x:c>
      <x:c r="B53" s="31" t="str">
        <x:v>優先轉入</x:v>
      </x:c>
      <x:c r="C53" s="32" t="str">
        <x:v>目前網站未找到對應文章，且含可保留的 YouTube 影音內容。</x:v>
      </x:c>
      <x:c r="D53" s="33" t="str">
        <x:v>待決定</x:v>
      </x:c>
      <x:c r="E53" s="34" t="d">
        <x:v>2020-11-19T05:55:00.000Z</x:v>
      </x:c>
      <x:c r="F53" s="32" t="str">
        <x:v>何謂因緣 講者 冨松幹禎(字幕 黃登洲會長)</x:v>
      </x:c>
      <x:c r="G53" s="32" t="str">
        <x:v>影音</x:v>
      </x:c>
      <x:c r="H53" s="30" t="n">
        <x:v>1</x:v>
      </x:c>
      <x:c r="I53" s="30" t="n">
        <x:v>0</x:v>
      </x:c>
      <x:c r="J53" s="30" t="n">
        <x:v>0</x:v>
      </x:c>
      <x:c r="K53" s="32" t="str">
        <x:v>YouTube 1個：轉入時改用 youtube-nocookie.com 響應式播放器</x:v>
      </x:c>
      <x:c r="L53" s="32" t="str"/>
      <x:c r="M53" s="35" t="e">
        <x:f>HYPERLINK("https://tenristudy.blogspot.com/2020/11/blog-post_39.html","點這裡閱讀原文")</x:f>
        <x:v>HYPERLINK is not implemented. linkLocation=https://tenristudy.blogspot.com/2020/11/blog-post_39.html, friendlyName=點這裡閱讀原文</x:v>
      </x:c>
      <x:c r="N53" s="32" t="str"/>
      <x:c r="O53" s="32" t="str"/>
    </x:row>
    <x:row r="54">
      <x:c r="A54" s="30" t="n">
        <x:v>101</x:v>
      </x:c>
      <x:c r="B54" s="31" t="str">
        <x:v>優先轉入</x:v>
      </x:c>
      <x:c r="C54" s="32" t="str">
        <x:v>目前網站未找到對應文章，且含可保留的 YouTube 影音內容。</x:v>
      </x:c>
      <x:c r="D54" s="33" t="str">
        <x:v>待決定</x:v>
      </x:c>
      <x:c r="E54" s="34" t="d">
        <x:v>2020-11-26T02:56:00.000Z</x:v>
      </x:c>
      <x:c r="F54" s="32" t="str">
        <x:v>幸福的關鍵在哪裡　講者：山本達則(字幕 黃登洲)</x:v>
      </x:c>
      <x:c r="G54" s="32" t="str">
        <x:v>影音</x:v>
      </x:c>
      <x:c r="H54" s="30" t="n">
        <x:v>1</x:v>
      </x:c>
      <x:c r="I54" s="30" t="n">
        <x:v>0</x:v>
      </x:c>
      <x:c r="J54" s="30" t="n">
        <x:v>0</x:v>
      </x:c>
      <x:c r="K54" s="32" t="str">
        <x:v>YouTube 1個：轉入時改用 youtube-nocookie.com 響應式播放器</x:v>
      </x:c>
      <x:c r="L54" s="32" t="str"/>
      <x:c r="M54" s="35" t="e">
        <x:f>HYPERLINK("https://tenristudy.blogspot.com/2020/11/blog-post.html","點這裡閱讀原文")</x:f>
        <x:v>HYPERLINK is not implemented. linkLocation=https://tenristudy.blogspot.com/2020/11/blog-post.html, friendlyName=點這裡閱讀原文</x:v>
      </x:c>
      <x:c r="N54" s="32" t="str"/>
      <x:c r="O54" s="32" t="str"/>
    </x:row>
    <x:row r="55">
      <x:c r="A55" s="30" t="n">
        <x:v>102</x:v>
      </x:c>
      <x:c r="B55" s="31" t="str">
        <x:v>優先轉入</x:v>
      </x:c>
      <x:c r="C55" s="32" t="str">
        <x:v>目前網站未找到對應文章，且含可保留的 YouTube 影音內容。</x:v>
      </x:c>
      <x:c r="D55" s="33" t="str">
        <x:v>待決定</x:v>
      </x:c>
      <x:c r="E55" s="34" t="d">
        <x:v>2020-12-04T07:39:00.000Z</x:v>
      </x:c>
      <x:c r="F55" s="32" t="str">
        <x:v>欲使人能感到喜悦　講者：上村善孝(字幕 黃登洲)</x:v>
      </x:c>
      <x:c r="G55" s="32" t="str">
        <x:v>影音</x:v>
      </x:c>
      <x:c r="H55" s="30" t="n">
        <x:v>1</x:v>
      </x:c>
      <x:c r="I55" s="30" t="n">
        <x:v>0</x:v>
      </x:c>
      <x:c r="J55" s="30" t="n">
        <x:v>0</x:v>
      </x:c>
      <x:c r="K55" s="32" t="str">
        <x:v>YouTube 1個：轉入時改用 youtube-nocookie.com 響應式播放器</x:v>
      </x:c>
      <x:c r="L55" s="32" t="str"/>
      <x:c r="M55" s="35" t="e">
        <x:f>HYPERLINK("https://tenristudy.blogspot.com/2020/12/blog-post.html","點這裡閱讀原文")</x:f>
        <x:v>HYPERLINK is not implemented. linkLocation=https://tenristudy.blogspot.com/2020/12/blog-post.html, friendlyName=點這裡閱讀原文</x:v>
      </x:c>
      <x:c r="N55" s="32" t="str"/>
      <x:c r="O55" s="32" t="str"/>
    </x:row>
    <x:row r="56">
      <x:c r="A56" s="30" t="n">
        <x:v>103</x:v>
      </x:c>
      <x:c r="B56" s="31" t="str">
        <x:v>優先轉入</x:v>
      </x:c>
      <x:c r="C56" s="32" t="str">
        <x:v>目前網站未找到對應文章，且含可保留的 YouTube 影音內容。</x:v>
      </x:c>
      <x:c r="D56" s="33" t="str">
        <x:v>待決定</x:v>
      </x:c>
      <x:c r="E56" s="34" t="d">
        <x:v>2020-12-04T07:40:00.000Z</x:v>
      </x:c>
      <x:c r="F56" s="32" t="str">
        <x:v>慰勞自己的思維方式　講者：宇田まゆみ(字幕 黃登洲)</x:v>
      </x:c>
      <x:c r="G56" s="32" t="str">
        <x:v>影音</x:v>
      </x:c>
      <x:c r="H56" s="30" t="n">
        <x:v>1</x:v>
      </x:c>
      <x:c r="I56" s="30" t="n">
        <x:v>0</x:v>
      </x:c>
      <x:c r="J56" s="30" t="n">
        <x:v>0</x:v>
      </x:c>
      <x:c r="K56" s="32" t="str">
        <x:v>YouTube 1個：轉入時改用 youtube-nocookie.com 響應式播放器</x:v>
      </x:c>
      <x:c r="L56" s="32" t="str"/>
      <x:c r="M56" s="35" t="e">
        <x:f>HYPERLINK("https://tenristudy.blogspot.com/2020/12/blog-post_4.html","點這裡閱讀原文")</x:f>
        <x:v>HYPERLINK is not implemented. linkLocation=https://tenristudy.blogspot.com/2020/12/blog-post_4.html, friendlyName=點這裡閱讀原文</x:v>
      </x:c>
      <x:c r="N56" s="32" t="str"/>
      <x:c r="O56" s="32" t="str"/>
    </x:row>
    <x:row r="57">
      <x:c r="A57" s="30" t="n">
        <x:v>104</x:v>
      </x:c>
      <x:c r="B57" s="31" t="str">
        <x:v>優先轉入</x:v>
      </x:c>
      <x:c r="C57" s="32" t="str">
        <x:v>目前網站未找到對應文章，正文完整，具有教理、見證或歷史保存價值。</x:v>
      </x:c>
      <x:c r="D57" s="33" t="str">
        <x:v>待決定</x:v>
      </x:c>
      <x:c r="E57" s="34" t="d">
        <x:v>2020-12-15T13:55:00.000Z</x:v>
      </x:c>
      <x:c r="F57" s="32" t="str">
        <x:v>2020年12月 傳道廳月次祭神殿講話(講者 黃登洲會長)</x:v>
      </x:c>
      <x:c r="G57" s="32" t="str">
        <x:v>其他</x:v>
      </x:c>
      <x:c r="H57" s="30" t="n">
        <x:v>0</x:v>
      </x:c>
      <x:c r="I57" s="30" t="n">
        <x:v>0</x:v>
      </x:c>
      <x:c r="J57" s="30" t="n">
        <x:v>5008</x:v>
      </x:c>
      <x:c r="K57" s="32" t="str">
        <x:v>無 YouTube</x:v>
      </x:c>
      <x:c r="L57" s="32" t="str">
        <x:v>大家好！ 剛才，和大家一起踴躍、康樂地奉行了 12 月的月次祭典，而能朝康樂生活世界更向前邁進一步，感到非常高興。 由於廳長先生的指派，由我來擔任這個月的祭典講話，請各位先進多多指教。 ( 四拍手 ) 第一個話題，想要針對因新型冠狀肺炎的影響，以前被認為是理所當然，而現今已變成不是理所當然的事情，來談談我們應該以怎様的…</x:v>
      </x:c>
      <x:c r="M57" s="35" t="e">
        <x:f>HYPERLINK("https://tenristudy.blogspot.com/2020/12/202012.html","點這裡閱讀原文")</x:f>
        <x:v>HYPERLINK is not implemented. linkLocation=https://tenristudy.blogspot.com/2020/12/202012.html, friendlyName=點這裡閱讀原文</x:v>
      </x:c>
      <x:c r="N57" s="32" t="str"/>
      <x:c r="O57" s="32" t="str"/>
    </x:row>
    <x:row r="58">
      <x:c r="A58" s="30" t="n">
        <x:v>105</x:v>
      </x:c>
      <x:c r="B58" s="31" t="str">
        <x:v>優先轉入</x:v>
      </x:c>
      <x:c r="C58" s="32" t="str">
        <x:v>目前網站未找到對應文章，且含可保留的 YouTube 影音內容。</x:v>
      </x:c>
      <x:c r="D58" s="33" t="str">
        <x:v>待決定</x:v>
      </x:c>
      <x:c r="E58" s="34" t="d">
        <x:v>2021-02-01T12:59:00.000Z</x:v>
      </x:c>
      <x:c r="F58" s="32" t="str">
        <x:v>「立教184年春季大祭」（2021年1月26日）</x:v>
      </x:c>
      <x:c r="G58" s="32" t="str">
        <x:v>影音</x:v>
      </x:c>
      <x:c r="H58" s="30" t="n">
        <x:v>1</x:v>
      </x:c>
      <x:c r="I58" s="30" t="n">
        <x:v>0</x:v>
      </x:c>
      <x:c r="J58" s="30" t="n">
        <x:v>0</x:v>
      </x:c>
      <x:c r="K58" s="32" t="str">
        <x:v>YouTube 1個：轉入時改用 youtube-nocookie.com 響應式播放器</x:v>
      </x:c>
      <x:c r="L58" s="32" t="str"/>
      <x:c r="M58" s="35" t="e">
        <x:f>HYPERLINK("https://tenristudy.blogspot.com/2021/02/1842021126.html","點這裡閱讀原文")</x:f>
        <x:v>HYPERLINK is not implemented. linkLocation=https://tenristudy.blogspot.com/2021/02/1842021126.html, friendlyName=點這裡閱讀原文</x:v>
      </x:c>
      <x:c r="N58" s="32" t="str"/>
      <x:c r="O58" s="32" t="str"/>
    </x:row>
    <x:row r="59">
      <x:c r="A59" s="30" t="n">
        <x:v>106</x:v>
      </x:c>
      <x:c r="B59" s="31" t="str">
        <x:v>優先轉入</x:v>
      </x:c>
      <x:c r="C59" s="32" t="str">
        <x:v>目前網站未找到對應文章，且含可保留的 YouTube 影音內容。</x:v>
      </x:c>
      <x:c r="D59" s="33" t="str">
        <x:v>待決定</x:v>
      </x:c>
      <x:c r="E59" s="34" t="d">
        <x:v>2021-02-03T13:00:00.000Z</x:v>
      </x:c>
      <x:c r="F59" s="32" t="str">
        <x:v>立教184年青年會本部１月例會 青年會長致辭(中文字幕)</x:v>
      </x:c>
      <x:c r="G59" s="32" t="str">
        <x:v>影音</x:v>
      </x:c>
      <x:c r="H59" s="30" t="n">
        <x:v>1</x:v>
      </x:c>
      <x:c r="I59" s="30" t="n">
        <x:v>0</x:v>
      </x:c>
      <x:c r="J59" s="30" t="n">
        <x:v>295</x:v>
      </x:c>
      <x:c r="K59" s="32" t="str">
        <x:v>YouTube 1個：轉入時改用 youtube-nocookie.com 響應式播放器</x:v>
      </x:c>
      <x:c r="L59" s="32" t="str">
        <x:v>本篇動畫，是擷取自天理教青年會本部，於立教184年1月線上連線的例會中青年會長的致詞。該線上連線舉辦的例會，可說是青年會首次的壯舉。會中除了青年會長的致詞外，還特別舉行了「夢想企畫案」，由四位青年會員們分別發表了各自的夢想。因此，由青年會長帶頭，於致詞中特別提到了自己的「夢想企畫案」。 青年會長於其「夢想企畫案」中，提…</x:v>
      </x:c>
      <x:c r="M59" s="35" t="e">
        <x:f>HYPERLINK("https://tenristudy.blogspot.com/2021/02/184.html","點這裡閱讀原文")</x:f>
        <x:v>HYPERLINK is not implemented. linkLocation=https://tenristudy.blogspot.com/2021/02/184.html, friendlyName=點這裡閱讀原文</x:v>
      </x:c>
      <x:c r="N59" s="32" t="str"/>
      <x:c r="O59" s="32" t="str"/>
    </x:row>
    <x:row r="60">
      <x:c r="A60" s="30" t="n">
        <x:v>107</x:v>
      </x:c>
      <x:c r="B60" s="31" t="str">
        <x:v>優先轉入</x:v>
      </x:c>
      <x:c r="C60" s="32" t="str">
        <x:v>目前網站未找到對應文章，正文完整，具有教理、見證或歷史保存價值。</x:v>
      </x:c>
      <x:c r="D60" s="33" t="str">
        <x:v>待決定</x:v>
      </x:c>
      <x:c r="E60" s="34" t="d">
        <x:v>2021-02-11T12:56:00.000Z</x:v>
      </x:c>
      <x:c r="F60" s="32" t="str">
        <x:v>怎樣才能「牛轉乾坤」？</x:v>
      </x:c>
      <x:c r="G60" s="32" t="str">
        <x:v>群組記事本</x:v>
      </x:c>
      <x:c r="H60" s="30" t="n">
        <x:v>0</x:v>
      </x:c>
      <x:c r="I60" s="30" t="n">
        <x:v>0</x:v>
      </x:c>
      <x:c r="J60" s="30" t="n">
        <x:v>475</x:v>
      </x:c>
      <x:c r="K60" s="32" t="str">
        <x:v>無 YouTube</x:v>
      </x:c>
      <x:c r="L60" s="32" t="str">
        <x:v>(黃登洲會長) 今年的新年賀詞，經常看到的就是「牛轉乾坤」。「扭轉乾坤」的意思，是 從根本上改變整個局面，也有「轉運」的隱喻。 乾坤是天地，我想也可以說就是父母神。要扭轉乾坤，要改變父母神所賜與人們既定的命運，要怎樣作才好呢？我認為其重點就是在於「轉」字。 教義中教導，人的身體及包含周遭一切的人、事、物，皆是父母神為了…</x:v>
      </x:c>
      <x:c r="M60" s="35" t="e">
        <x:f>HYPERLINK("https://tenristudy.blogspot.com/2021/02/blog-post.html","點這裡閱讀原文")</x:f>
        <x:v>HYPERLINK is not implemented. linkLocation=https://tenristudy.blogspot.com/2021/02/blog-post.html, friendlyName=點這裡閱讀原文</x:v>
      </x:c>
      <x:c r="N60" s="32" t="str"/>
      <x:c r="O60" s="32" t="str"/>
    </x:row>
    <x:row r="61">
      <x:c r="A61" s="30" t="n">
        <x:v>108</x:v>
      </x:c>
      <x:c r="B61" s="31" t="str">
        <x:v>優先轉入</x:v>
      </x:c>
      <x:c r="C61" s="32" t="str">
        <x:v>目前網站未找到對應文章，且含可保留的 YouTube 影音內容。</x:v>
      </x:c>
      <x:c r="D61" s="33" t="str">
        <x:v>待決定</x:v>
      </x:c>
      <x:c r="E61" s="34" t="d">
        <x:v>2021-03-02T13:27:00.000Z</x:v>
      </x:c>
      <x:c r="F61" s="32" t="str">
        <x:v>【學習教理】飯降政彦・前表統領「通達父母神的心念」(謝秋瑾摘譯)</x:v>
      </x:c>
      <x:c r="G61" s="32" t="str">
        <x:v>影音</x:v>
      </x:c>
      <x:c r="H61" s="30" t="n">
        <x:v>1</x:v>
      </x:c>
      <x:c r="I61" s="30" t="n">
        <x:v>0</x:v>
      </x:c>
      <x:c r="J61" s="30" t="n">
        <x:v>1667</x:v>
      </x:c>
      <x:c r="K61" s="32" t="str">
        <x:v>YouTube 1個：轉入時改用 youtube-nocookie.com 響應式播放器</x:v>
      </x:c>
      <x:c r="L61" s="32" t="str">
        <x:v>我們走在教祖教導的道路上，是一條信仰的道路，也是邁向康樂生活的道路，而我們朝著康樂生活的目標前進的路途上，同時也積累著許多心塵，並為了「如何才能得到祐護」而煩惱。「心塵」這東西會積累，也會在不知不覺中吸入體內，因為它是肉眼看不到的東西，往往在不知不覺中就累積了。人活在世上，不可能不跟人接觸，因此也會吸入他人的「心塵」，…</x:v>
      </x:c>
      <x:c r="M61" s="35" t="e">
        <x:f>HYPERLINK("https://tenristudy.blogspot.com/2021/03/blog-post.html","點這裡閱讀原文")</x:f>
        <x:v>HYPERLINK is not implemented. linkLocation=https://tenristudy.blogspot.com/2021/03/blog-post.html, friendlyName=點這裡閱讀原文</x:v>
      </x:c>
      <x:c r="N61" s="32" t="str"/>
      <x:c r="O61" s="32" t="str"/>
    </x:row>
    <x:row r="62">
      <x:c r="A62" s="30" t="n">
        <x:v>109</x:v>
      </x:c>
      <x:c r="B62" s="31" t="str">
        <x:v>優先轉入</x:v>
      </x:c>
      <x:c r="C62" s="32" t="str">
        <x:v>目前網站未找到對應文章，且含可保留的 YouTube 影音內容。</x:v>
      </x:c>
      <x:c r="D62" s="33" t="str">
        <x:v>待決定</x:v>
      </x:c>
      <x:c r="E62" s="34" t="d">
        <x:v>2021-03-08T14:06:59.999Z</x:v>
      </x:c>
      <x:c r="F62" s="32" t="str">
        <x:v>人際關係好轉之溝通(字幕 黃登洲會長)</x:v>
      </x:c>
      <x:c r="G62" s="32" t="str">
        <x:v>影音</x:v>
      </x:c>
      <x:c r="H62" s="30" t="n">
        <x:v>1</x:v>
      </x:c>
      <x:c r="I62" s="30" t="n">
        <x:v>0</x:v>
      </x:c>
      <x:c r="J62" s="30" t="n">
        <x:v>0</x:v>
      </x:c>
      <x:c r="K62" s="32" t="str">
        <x:v>YouTube 1個：轉入時改用 youtube-nocookie.com 響應式播放器</x:v>
      </x:c>
      <x:c r="L62" s="32" t="str"/>
      <x:c r="M62" s="35" t="e">
        <x:f>HYPERLINK("https://tenristudy.blogspot.com/2021/03/blog-post_8.html","點這裡閱讀原文")</x:f>
        <x:v>HYPERLINK is not implemented. linkLocation=https://tenristudy.blogspot.com/2021/03/blog-post_8.html, friendlyName=點這裡閱讀原文</x:v>
      </x:c>
      <x:c r="N62" s="32" t="str"/>
      <x:c r="O62" s="32" t="str"/>
    </x:row>
    <x:row r="63">
      <x:c r="A63" s="30" t="n">
        <x:v>110</x:v>
      </x:c>
      <x:c r="B63" s="31" t="str">
        <x:v>優先轉入</x:v>
      </x:c>
      <x:c r="C63" s="32" t="str">
        <x:v>目前網站未找到對應文章，正文完整，具有教理、見證或歷史保存價值。</x:v>
      </x:c>
      <x:c r="D63" s="33" t="str">
        <x:v>待決定</x:v>
      </x:c>
      <x:c r="E63" s="34" t="d">
        <x:v>2021-04-05T14:50:00.000Z</x:v>
      </x:c>
      <x:c r="F63" s="32" t="str">
        <x:v>「從我的東西到我的事情」</x:v>
      </x:c>
      <x:c r="G63" s="32" t="str">
        <x:v>群組記事本</x:v>
      </x:c>
      <x:c r="H63" s="30" t="n">
        <x:v>0</x:v>
      </x:c>
      <x:c r="I63" s="30" t="n">
        <x:v>1</x:v>
      </x:c>
      <x:c r="J63" s="30" t="n">
        <x:v>1848</x:v>
      </x:c>
      <x:c r="K63" s="32" t="str">
        <x:v>無 YouTube</x:v>
      </x:c>
      <x:c r="L63" s="32" t="str">
        <x:v>今天看一部網路節目，是有關 DV( 夫妻間暴力 ) 的特集。 其中，我對支援 DV 被害者的 NPO 代表說的話留下很深的印象。 「會做出 DV 的人，是把對方當成自己的所有物。 因為這樣 過於期待，對方沒有照自己的想法做時便生氣，施行暴力」 原來如此。除了心有所感，也想到，這件事情不是別人的事。 很理所當然，我們對於…</x:v>
      </x:c>
      <x:c r="M63" s="35" t="e">
        <x:f>HYPERLINK("https://tenristudy.blogspot.com/2021/04/blog-post.html","點這裡閱讀原文")</x:f>
        <x:v>HYPERLINK is not implemented. linkLocation=https://tenristudy.blogspot.com/2021/04/blog-post.html, friendlyName=點這裡閱讀原文</x:v>
      </x:c>
      <x:c r="N63" s="32" t="str"/>
      <x:c r="O63" s="32" t="str"/>
    </x:row>
    <x:row r="64">
      <x:c r="A64" s="30" t="n">
        <x:v>111</x:v>
      </x:c>
      <x:c r="B64" s="31" t="str">
        <x:v>優先轉入</x:v>
      </x:c>
      <x:c r="C64" s="32" t="str">
        <x:v>目前網站未找到對應文章，正文完整，具有教理、見證或歷史保存價值。</x:v>
      </x:c>
      <x:c r="D64" s="33" t="str">
        <x:v>待決定</x:v>
      </x:c>
      <x:c r="E64" s="34" t="d">
        <x:v>2021-04-14T13:33:00.000Z</x:v>
      </x:c>
      <x:c r="F64" s="32" t="str">
        <x:v>109年12月傳道廳神殿演講(黃登洲會長)</x:v>
      </x:c>
      <x:c r="G64" s="32" t="str">
        <x:v>群組記事本</x:v>
      </x:c>
      <x:c r="H64" s="30" t="n">
        <x:v>0</x:v>
      </x:c>
      <x:c r="I64" s="30" t="n">
        <x:v>0</x:v>
      </x:c>
      <x:c r="J64" s="30" t="n">
        <x:v>4960</x:v>
      </x:c>
      <x:c r="K64" s="32" t="str">
        <x:v>無 YouTube</x:v>
      </x:c>
      <x:c r="L64" s="32" t="str">
        <x:v>大家好！ 剛才，和大家一起踴躍、康樂地奉行了12月的月次祭典，而能朝康樂生活世界更向前邁進一步，感到非常高興。 由於廳長先生的指派，由我來擔任這個月的祭典講話，請各位先進多多指教。(四拍手) 第一個話題，想要針對因新型冠狀肺炎的影響，以前被認為是理所當然，而現今已變成不是理所當然的事情，來談談我們應該以怎様的心態來面對…</x:v>
      </x:c>
      <x:c r="M64" s="35" t="e">
        <x:f>HYPERLINK("https://tenristudy.blogspot.com/2021/04/10912.html","點這裡閱讀原文")</x:f>
        <x:v>HYPERLINK is not implemented. linkLocation=https://tenristudy.blogspot.com/2021/04/10912.html, friendlyName=點這裡閱讀原文</x:v>
      </x:c>
      <x:c r="N64" s="32" t="str"/>
      <x:c r="O64" s="32" t="str"/>
    </x:row>
    <x:row r="65">
      <x:c r="A65" s="30" t="n">
        <x:v>112</x:v>
      </x:c>
      <x:c r="B65" s="31" t="str">
        <x:v>優先轉入</x:v>
      </x:c>
      <x:c r="C65" s="32" t="str">
        <x:v>目前網站未找到對應文章，且含可保留的 YouTube 影音內容。</x:v>
      </x:c>
      <x:c r="D65" s="33" t="str">
        <x:v>待決定</x:v>
      </x:c>
      <x:c r="E65" s="34" t="d">
        <x:v>2021-04-14T14:17:00.000Z</x:v>
      </x:c>
      <x:c r="F65" s="32" t="str">
        <x:v>逸話篇 三一　天的規尺</x:v>
      </x:c>
      <x:c r="G65" s="32" t="str">
        <x:v>影音</x:v>
      </x:c>
      <x:c r="H65" s="30" t="n">
        <x:v>1</x:v>
      </x:c>
      <x:c r="I65" s="30" t="n">
        <x:v>0</x:v>
      </x:c>
      <x:c r="J65" s="30" t="n">
        <x:v>2662</x:v>
      </x:c>
      <x:c r="K65" s="32" t="str">
        <x:v>YouTube 1個：轉入時改用 youtube-nocookie.com 響應式播放器</x:v>
      </x:c>
      <x:c r="L65" s="32" t="str">
        <x:v>(黃登洲會長翻譯) 爭吵的原因 在家庭或職場，會有因意見的衝突，而産生不愉快的心情。心理學家阿德勒說：「人們的煩惱，全都是人際關係的煩惱。」說來，人與人的交往是很難的。 我們在吵架或爭論時，總是會認為自己是對的，而對方是錯的。透過自己的主張，激昂地辯論對方是如何地做錯事。變成這樣的話，就已經是無休止的爭論，而將變成無法…</x:v>
      </x:c>
      <x:c r="M65" s="35" t="e">
        <x:f>HYPERLINK("https://tenristudy.blogspot.com/2021/04/blog-post_14.html","點這裡閱讀原文")</x:f>
        <x:v>HYPERLINK is not implemented. linkLocation=https://tenristudy.blogspot.com/2021/04/blog-post_14.html, friendlyName=點這裡閱讀原文</x:v>
      </x:c>
      <x:c r="N65" s="32" t="str"/>
      <x:c r="O65" s="32" t="str"/>
    </x:row>
    <x:row r="66">
      <x:c r="A66" s="30" t="n">
        <x:v>115</x:v>
      </x:c>
      <x:c r="B66" s="31" t="str">
        <x:v>優先轉入</x:v>
      </x:c>
      <x:c r="C66" s="32" t="str">
        <x:v>目前網站未找到對應文章，且含可保留的 YouTube 影音內容。</x:v>
      </x:c>
      <x:c r="D66" s="33" t="str">
        <x:v>待決定</x:v>
      </x:c>
      <x:c r="E66" s="34" t="d">
        <x:v>2021-05-02T14:32:00.000Z</x:v>
      </x:c>
      <x:c r="F66" s="32" t="str">
        <x:v>「逸話篇 三九　如此更好」</x:v>
      </x:c>
      <x:c r="G66" s="32" t="str">
        <x:v>影音</x:v>
      </x:c>
      <x:c r="H66" s="30" t="n">
        <x:v>1</x:v>
      </x:c>
      <x:c r="I66" s="30" t="n">
        <x:v>0</x:v>
      </x:c>
      <x:c r="J66" s="30" t="n">
        <x:v>2720</x:v>
      </x:c>
      <x:c r="K66" s="32" t="str">
        <x:v>YouTube 1個：轉入時改用 youtube-nocookie.com 響應式播放器</x:v>
      </x:c>
      <x:c r="L66" s="32" t="str">
        <x:v>黃登洲會長 譯自：茶木谷吉信 著 「活用於世界拯救之教祖逸話」 由孩童的竊盜事件 我想無論是誰都有丟掉東西的經驗。有紀念性的東西、喜歡的東西或是別人送給的禮物等，越是重要的東西，丟掉時的失望會更大吧！然而，如果是被「偷竊」的話，則將會超越失望，變成氣憤吧！ 我女兒讀高中時，制服的水手服曾經被偷過。也不知道是外部的人偷的…</x:v>
      </x:c>
      <x:c r="M66" s="35" t="e">
        <x:f>HYPERLINK("https://tenristudy.blogspot.com/2021/05/blog-post.html","點這裡閱讀原文")</x:f>
        <x:v>HYPERLINK is not implemented. linkLocation=https://tenristudy.blogspot.com/2021/05/blog-post.html, friendlyName=點這裡閱讀原文</x:v>
      </x:c>
      <x:c r="N66" s="32" t="str"/>
      <x:c r="O66" s="32" t="str"/>
    </x:row>
    <x:row r="67">
      <x:c r="A67" s="30" t="n">
        <x:v>117</x:v>
      </x:c>
      <x:c r="B67" s="31" t="str">
        <x:v>優先轉入</x:v>
      </x:c>
      <x:c r="C67" s="32" t="str">
        <x:v>目前網站未找到對應文章，且含可保留的 YouTube 影音內容。</x:v>
      </x:c>
      <x:c r="D67" s="33" t="str">
        <x:v>待決定</x:v>
      </x:c>
      <x:c r="E67" s="34" t="d">
        <x:v>2021-05-30T13:58:00.000Z</x:v>
      </x:c>
      <x:c r="F67" s="32" t="str">
        <x:v>我的故鄉與天理 山口淑子</x:v>
      </x:c>
      <x:c r="G67" s="32" t="str">
        <x:v>表哥</x:v>
      </x:c>
      <x:c r="H67" s="30" t="n">
        <x:v>3</x:v>
      </x:c>
      <x:c r="I67" s="30" t="n">
        <x:v>1</x:v>
      </x:c>
      <x:c r="J67" s="30" t="n">
        <x:v>1704</x:v>
      </x:c>
      <x:c r="K67" s="32" t="str">
        <x:v>YouTube 3個：轉入時改用 youtube-nocookie.com 響應式播放器</x:v>
      </x:c>
      <x:c r="L67" s="32" t="str">
        <x:v>中日戰爭期間，唱紅 「 夜來香」、「何日君再來」等名曲的山口淑子—李香蘭 (1920~2014) ，是一位傳奇人物。 她的父母親從日本移民中國東北，她在中國長大，學會一口流利中文。在友人介紹下，跟一位義大利聲樂家學習唱歌。後來進入日本在中國東北成立的滿州電影公司，成為演歌雙棲明星。戰爭結束後她回到日本，改回原名山口淑子…</x:v>
      </x:c>
      <x:c r="M67" s="35" t="e">
        <x:f>HYPERLINK("https://tenristudy.blogspot.com/2021/05/blog-post_30.html","點這裡閱讀原文")</x:f>
        <x:v>HYPERLINK is not implemented. linkLocation=https://tenristudy.blogspot.com/2021/05/blog-post_30.html, friendlyName=點這裡閱讀原文</x:v>
      </x:c>
      <x:c r="N67" s="32" t="str"/>
      <x:c r="O67" s="32" t="str"/>
    </x:row>
    <x:row r="68">
      <x:c r="A68" s="30" t="n">
        <x:v>8</x:v>
      </x:c>
      <x:c r="B68" s="31" t="str">
        <x:v>可選轉入</x:v>
      </x:c>
      <x:c r="C68" s="32" t="str">
        <x:v>目前網站未找到對應文章，但篇幅較短，可依保存需求決定。</x:v>
      </x:c>
      <x:c r="D68" s="33" t="str">
        <x:v>待決定</x:v>
      </x:c>
      <x:c r="E68" s="34" t="d">
        <x:v>2015-06-25T07:28:00.000Z</x:v>
      </x:c>
      <x:c r="F68" s="32" t="str">
        <x:v>維持信仰心的方法 給888期修養科生</x:v>
      </x:c>
      <x:c r="G68" s="32" t="str">
        <x:v>表哥</x:v>
      </x:c>
      <x:c r="H68" s="30" t="n">
        <x:v>0</x:v>
      </x:c>
      <x:c r="I68" s="30" t="n">
        <x:v>1</x:v>
      </x:c>
      <x:c r="J68" s="30" t="n">
        <x:v>334</x:v>
      </x:c>
      <x:c r="K68" s="32" t="str">
        <x:v>無 YouTube</x:v>
      </x:c>
      <x:c r="L68" s="32" t="str">
        <x:v>1 到教會拜拜，參加教會活動。 ( 與志同道合的人切磋接近神 ) 2.1 培養 「 隨時都能行使神授 」 的心態。 ( 「 聖舞 」 與 「 神授 」 都 是教祖親自教給我們實現康樂生活的具體方法 ) 2.2 每天與神保持連繫。 ( 聖勞、拜拜、合掌 ) 3.1 找事情跟神約定， 「 下定決心 」 。 ( 為達成某個願…</x:v>
      </x:c>
      <x:c r="M68" s="35" t="e">
        <x:f>HYPERLINK("https://tenristudy.blogspot.com/2015/06/888.html","點這裡閱讀原文")</x:f>
        <x:v>HYPERLINK is not implemented. linkLocation=https://tenristudy.blogspot.com/2015/06/888.html, friendlyName=點這裡閱讀原文</x:v>
      </x:c>
      <x:c r="N68" s="32" t="str"/>
      <x:c r="O68" s="32" t="str"/>
    </x:row>
    <x:row r="69">
      <x:c r="A69" s="30" t="n">
        <x:v>61</x:v>
      </x:c>
      <x:c r="B69" s="31" t="str">
        <x:v>可選轉入</x:v>
      </x:c>
      <x:c r="C69" s="32" t="str">
        <x:v>目前網站未找到對應文章，但篇幅較短，可依保存需求決定。</x:v>
      </x:c>
      <x:c r="D69" s="33" t="str">
        <x:v>待決定</x:v>
      </x:c>
      <x:c r="E69" s="34" t="d">
        <x:v>2020-05-18T13:56:00.000Z</x:v>
      </x:c>
      <x:c r="F69" s="32" t="str">
        <x:v>信仰分享（四）</x:v>
      </x:c>
      <x:c r="G69" s="32" t="str">
        <x:v>群組記事本</x:v>
      </x:c>
      <x:c r="H69" s="30" t="n">
        <x:v>0</x:v>
      </x:c>
      <x:c r="I69" s="30" t="n">
        <x:v>0</x:v>
      </x:c>
      <x:c r="J69" s="30" t="n">
        <x:v>316</x:v>
      </x:c>
      <x:c r="K69" s="32" t="str">
        <x:v>無 YouTube</x:v>
      </x:c>
      <x:c r="L69" s="32" t="str">
        <x:v>前面貼文山名大教會會長講話內容翻譯如下 12月23日這天，遠洲好天氣。 是今年最後一次月次祭。 奉行了拯救聖舞同時感謝父母神這一年的祐護。 在幫生病的信者行使「神授」前，大教會長的講話摘錄如下： 「神在哪裡？」「神的姿容是什麼樣子？」大部分的信者都會回答說：神鎮座在孕育人類的元始地點「原地」，其實答案有兩個。 有句教導…</x:v>
      </x:c>
      <x:c r="M69" s="35" t="e">
        <x:f>HYPERLINK("https://tenristudy.blogspot.com/2020/05/blog-post_34.html","點這裡閱讀原文")</x:f>
        <x:v>HYPERLINK is not implemented. linkLocation=https://tenristudy.blogspot.com/2020/05/blog-post_34.html, friendlyName=點這裡閱讀原文</x:v>
      </x:c>
      <x:c r="N69" s="32" t="str"/>
      <x:c r="O69" s="32" t="str"/>
    </x:row>
    <x:row r="70">
      <x:c r="A70" s="30" t="n">
        <x:v>81</x:v>
      </x:c>
      <x:c r="B70" s="31" t="str">
        <x:v>可選轉入</x:v>
      </x:c>
      <x:c r="C70" s="32" t="str">
        <x:v>目前網站未找到對應文章，但篇幅較短，可依保存需求決定。</x:v>
      </x:c>
      <x:c r="D70" s="33" t="str">
        <x:v>待決定</x:v>
      </x:c>
      <x:c r="E70" s="34" t="d">
        <x:v>2020-05-22T14:02:00.000Z</x:v>
      </x:c>
      <x:c r="F70" s="32" t="str">
        <x:v>「我以前幫你，你卻……」</x:v>
      </x:c>
      <x:c r="G70" s="32" t="str">
        <x:v>群組記事本</x:v>
      </x:c>
      <x:c r="H70" s="30" t="n">
        <x:v>0</x:v>
      </x:c>
      <x:c r="I70" s="30" t="n">
        <x:v>0</x:v>
      </x:c>
      <x:c r="J70" s="30" t="n">
        <x:v>328</x:v>
      </x:c>
      <x:c r="K70" s="32" t="str">
        <x:v>無 YouTube</x:v>
      </x:c>
      <x:c r="L70" s="32" t="str">
        <x:v>譯自天理時報 一般人，大部分的情形，在做了甚麼善行，會希望別人知道，而做了不好的事情會不想讓人知道。同時對於曾經幫助他人的事常常記的特別清楚，相對的，人家對自己的好或受到他人的幫助卻好像很容易就忘記。 只記得曾經對某人好、曾經幫助了某人，如果腦子裡只記得這些，就等於是期待對方的回報，漸漸地就會產生「我以前幫你，你卻………</x:v>
      </x:c>
      <x:c r="M70" s="35" t="e">
        <x:f>HYPERLINK("https://tenristudy.blogspot.com/2020/05/blog-post_60.html","點這裡閱讀原文")</x:f>
        <x:v>HYPERLINK is not implemented. linkLocation=https://tenristudy.blogspot.com/2020/05/blog-post_60.html, friendlyName=點這裡閱讀原文</x:v>
      </x:c>
      <x:c r="N70" s="32" t="str"/>
      <x:c r="O70" s="32" t="str"/>
    </x:row>
    <x:row r="71">
      <x:c r="A71" s="30" t="n">
        <x:v>91</x:v>
      </x:c>
      <x:c r="B71" s="31" t="str">
        <x:v>可選轉入</x:v>
      </x:c>
      <x:c r="C71" s="32" t="str">
        <x:v>目前網站未找到對應文章，但篇幅較短，可依保存需求決定。</x:v>
      </x:c>
      <x:c r="D71" s="33" t="str">
        <x:v>待決定</x:v>
      </x:c>
      <x:c r="E71" s="34" t="d">
        <x:v>2020-09-20T13:14:00.000Z</x:v>
      </x:c>
      <x:c r="F71" s="32" t="str">
        <x:v>天分</x:v>
      </x:c>
      <x:c r="G71" s="32" t="str">
        <x:v>群組記事本</x:v>
      </x:c>
      <x:c r="H71" s="30" t="n">
        <x:v>0</x:v>
      </x:c>
      <x:c r="I71" s="30" t="n">
        <x:v>0</x:v>
      </x:c>
      <x:c r="J71" s="30" t="n">
        <x:v>328</x:v>
      </x:c>
      <x:c r="K71" s="32" t="str">
        <x:v>無 YouTube</x:v>
      </x:c>
      <x:c r="L71" s="32" t="str">
        <x:v>譯自某教會出版品 每個人都擁有父母神賦與靈魂的「分」。稱為天分。 人在世界上生存的目的是康樂生活，為了實現此目的，重要的是每個人要知道自己的分，對分做出回應，依據分來完成任務。 比分少的會剩餘，比分多的則是勉強。以上兩種，對康樂生活來說都是不完全。好好明白自己的分，全心致力於與分相呼應的事情，換句話說，活用每個人的德分…</x:v>
      </x:c>
      <x:c r="M71" s="35" t="e">
        <x:f>HYPERLINK("https://tenristudy.blogspot.com/2020/09/blog-post.html","點這裡閱讀原文")</x:f>
        <x:v>HYPERLINK is not implemented. linkLocation=https://tenristudy.blogspot.com/2020/09/blog-post.html, friendlyName=點這裡閱讀原文</x:v>
      </x:c>
      <x:c r="N71" s="32" t="str"/>
      <x:c r="O71" s="32" t="str"/>
    </x:row>
    <x:row r="72">
      <x:c r="A72" s="30" t="n">
        <x:v>95</x:v>
      </x:c>
      <x:c r="B72" s="31" t="str">
        <x:v>可選轉入</x:v>
      </x:c>
      <x:c r="C72" s="32" t="str">
        <x:v>目前網站未找到對應文章，但篇幅較短，可依保存需求決定。</x:v>
      </x:c>
      <x:c r="D72" s="33" t="str">
        <x:v>待決定</x:v>
      </x:c>
      <x:c r="E72" s="34" t="d">
        <x:v>2020-09-20T13:47:00.000Z</x:v>
      </x:c>
      <x:c r="F72" s="32" t="str">
        <x:v>最近</x:v>
      </x:c>
      <x:c r="G72" s="32" t="str">
        <x:v>群組記事本</x:v>
      </x:c>
      <x:c r="H72" s="30" t="n">
        <x:v>0</x:v>
      </x:c>
      <x:c r="I72" s="30" t="n">
        <x:v>0</x:v>
      </x:c>
      <x:c r="J72" s="30" t="n">
        <x:v>130</x:v>
      </x:c>
      <x:c r="K72" s="32" t="str">
        <x:v>無 YouTube</x:v>
      </x:c>
      <x:c r="L72" s="32" t="str">
        <x:v>琵琶三乃分教會奧谷會長 2019/10/20 *最近很少說別人的壞話或批評別人。 *最近不會把失敗的原因推給別人或社會或組織。 *最近可以把意識集中在自己如何能成長。 *最近比較少追求金錢，多追求心靈成長。 *最近不怎麼計較過去的自己，一直想著未來可以做什麼。</x:v>
      </x:c>
      <x:c r="M72" s="35" t="e">
        <x:f>HYPERLINK("https://tenristudy.blogspot.com/2020/09/blog-post_86.html","點這裡閱讀原文")</x:f>
        <x:v>HYPERLINK is not implemented. linkLocation=https://tenristudy.blogspot.com/2020/09/blog-post_86.html, friendlyName=點這裡閱讀原文</x:v>
      </x:c>
      <x:c r="N72" s="32" t="str"/>
      <x:c r="O72" s="32" t="str"/>
    </x:row>
    <x:row r="73">
      <x:c r="A73" s="30" t="n">
        <x:v>65</x:v>
      </x:c>
      <x:c r="B73" s="31" t="str">
        <x:v>暫不轉入</x:v>
      </x:c>
      <x:c r="C73" s="32" t="str">
        <x:v>目前網站未找到對應文章，但正文過短或只有圖片；若要保留需先 OCR 或人工整理。</x:v>
      </x:c>
      <x:c r="D73" s="33" t="str">
        <x:v>待決定</x:v>
      </x:c>
      <x:c r="E73" s="34" t="d">
        <x:v>2020-05-19T12:51:00.000Z</x:v>
      </x:c>
      <x:c r="F73" s="32" t="str">
        <x:v>八種心塵</x:v>
      </x:c>
      <x:c r="G73" s="32" t="str">
        <x:v>群組記事本</x:v>
      </x:c>
      <x:c r="H73" s="30" t="n">
        <x:v>0</x:v>
      </x:c>
      <x:c r="I73" s="30" t="n">
        <x:v>1</x:v>
      </x:c>
      <x:c r="J73" s="30" t="n">
        <x:v>0</x:v>
      </x:c>
      <x:c r="K73" s="32" t="str">
        <x:v>無 YouTube</x:v>
      </x:c>
      <x:c r="L73" s="32" t="str"/>
      <x:c r="M73" s="35" t="e">
        <x:f>HYPERLINK("https://tenristudy.blogspot.com/2020/05/blog-post_88.html","點這裡閱讀原文")</x:f>
        <x:v>HYPERLINK is not implemented. linkLocation=https://tenristudy.blogspot.com/2020/05/blog-post_88.html, friendlyName=點這裡閱讀原文</x:v>
      </x:c>
      <x:c r="N73" s="32" t="str"/>
      <x:c r="O73" s="32" t="str"/>
    </x:row>
    <x:row r="74">
      <x:c r="A74" s="30" t="n">
        <x:v>66</x:v>
      </x:c>
      <x:c r="B74" s="31" t="str">
        <x:v>暫不轉入</x:v>
      </x:c>
      <x:c r="C74" s="32" t="str">
        <x:v>目前網站未找到對應文章，但正文過短或只有圖片；若要保留需先 OCR 或人工整理。</x:v>
      </x:c>
      <x:c r="D74" s="33" t="str">
        <x:v>待決定</x:v>
      </x:c>
      <x:c r="E74" s="34" t="d">
        <x:v>2020-05-19T12:53:00.000Z</x:v>
      </x:c>
      <x:c r="F74" s="32" t="str">
        <x:v>全能祐護</x:v>
      </x:c>
      <x:c r="G74" s="32" t="str">
        <x:v>群組記事本</x:v>
      </x:c>
      <x:c r="H74" s="30" t="n">
        <x:v>0</x:v>
      </x:c>
      <x:c r="I74" s="30" t="n">
        <x:v>1</x:v>
      </x:c>
      <x:c r="J74" s="30" t="n">
        <x:v>0</x:v>
      </x:c>
      <x:c r="K74" s="32" t="str">
        <x:v>無 YouTube</x:v>
      </x:c>
      <x:c r="L74" s="32" t="str"/>
      <x:c r="M74" s="35" t="e">
        <x:f>HYPERLINK("https://tenristudy.blogspot.com/2020/05/blog-post_90.html","點這裡閱讀原文")</x:f>
        <x:v>HYPERLINK is not implemented. linkLocation=https://tenristudy.blogspot.com/2020/05/blog-post_90.html, friendlyName=點這裡閱讀原文</x:v>
      </x:c>
      <x:c r="N74" s="32" t="str"/>
      <x:c r="O74" s="32" t="str"/>
    </x:row>
    <x:row r="75">
      <x:c r="A75" s="30" t="n">
        <x:v>89</x:v>
      </x:c>
      <x:c r="B75" s="31" t="str">
        <x:v>暫不轉入</x:v>
      </x:c>
      <x:c r="C75" s="32" t="str">
        <x:v>目前網站未找到對應文章，但正文過短或只有圖片；若要保留需先 OCR 或人工整理。</x:v>
      </x:c>
      <x:c r="D75" s="33" t="str">
        <x:v>待決定</x:v>
      </x:c>
      <x:c r="E75" s="34" t="d">
        <x:v>2020-07-01T13:21:00.000Z</x:v>
      </x:c>
      <x:c r="F75" s="32" t="str">
        <x:v>連繫全能祐護之心</x:v>
      </x:c>
      <x:c r="G75" s="32" t="str">
        <x:v>群組記事本</x:v>
      </x:c>
      <x:c r="H75" s="30" t="n">
        <x:v>0</x:v>
      </x:c>
      <x:c r="I75" s="30" t="n">
        <x:v>0</x:v>
      </x:c>
      <x:c r="J75" s="30" t="n">
        <x:v>35</x:v>
      </x:c>
      <x:c r="K75" s="32" t="str">
        <x:v>無 YouTube</x:v>
      </x:c>
      <x:c r="L75" s="32" t="str">
        <x:v>黃登洲會長翻譯本部員宇野義明的文章。 請點以下連結： 連繫全能祐護之心</x:v>
      </x:c>
      <x:c r="M75" s="35" t="e">
        <x:f>HYPERLINK("https://tenristudy.blogspot.com/2020/07/blog-post.html","點這裡閱讀原文")</x:f>
        <x:v>HYPERLINK is not implemented. linkLocation=https://tenristudy.blogspot.com/2020/07/blog-post.html, friendlyName=點這裡閱讀原文</x:v>
      </x:c>
      <x:c r="N75" s="32" t="str"/>
      <x:c r="O75" s="32" t="str"/>
    </x:row>
    <x:row r="76">
      <x:c r="A76" s="30" t="n">
        <x:v>90</x:v>
      </x:c>
      <x:c r="B76" s="31" t="str">
        <x:v>暫不轉入</x:v>
      </x:c>
      <x:c r="C76" s="32" t="str">
        <x:v>目前網站未找到對應文章，但正文過短或只有圖片；若要保留需先 OCR 或人工整理。</x:v>
      </x:c>
      <x:c r="D76" s="33" t="str">
        <x:v>待決定</x:v>
      </x:c>
      <x:c r="E76" s="34" t="d">
        <x:v>2020-07-03T13:54:00.000Z</x:v>
      </x:c>
      <x:c r="F76" s="32" t="str">
        <x:v>宇野義明老師在大望發表的文章</x:v>
      </x:c>
      <x:c r="G76" s="32" t="str">
        <x:v>群組記事本</x:v>
      </x:c>
      <x:c r="H76" s="30" t="n">
        <x:v>0</x:v>
      </x:c>
      <x:c r="I76" s="30" t="n">
        <x:v>0</x:v>
      </x:c>
      <x:c r="J76" s="30" t="n">
        <x:v>20</x:v>
      </x:c>
      <x:c r="K76" s="32" t="str">
        <x:v>無 YouTube</x:v>
      </x:c>
      <x:c r="L76" s="32" t="str">
        <x:v>由西高雄黃登洲會長整理。 宇野義明-大望</x:v>
      </x:c>
      <x:c r="M76" s="35" t="e">
        <x:f>HYPERLINK("https://tenristudy.blogspot.com/2020/07/blog-post_3.html","點這裡閱讀原文")</x:f>
        <x:v>HYPERLINK is not implemented. linkLocation=https://tenristudy.blogspot.com/2020/07/blog-post_3.html, friendlyName=點這裡閱讀原文</x:v>
      </x:c>
      <x:c r="N76" s="32" t="str"/>
      <x:c r="O76" s="32" t="str"/>
    </x:row>
    <x:row r="77">
      <x:c r="A77" s="30" t="n">
        <x:v>4</x:v>
      </x:c>
      <x:c r="B77" s="31" t="str">
        <x:v>已存在，不重複轉入</x:v>
      </x:c>
      <x:c r="C77" s="32" t="str">
        <x:v>kirby1215.tw 已有同名或高度相符文章。</x:v>
      </x:c>
      <x:c r="D77" s="33" t="str">
        <x:v>待決定</x:v>
      </x:c>
      <x:c r="E77" s="34" t="d">
        <x:v>2015-02-04T05:17:00.000Z</x:v>
      </x:c>
      <x:c r="F77" s="32" t="str">
        <x:v>給躊躇於信仰之道的青年朋友</x:v>
      </x:c>
      <x:c r="G77" s="32" t="str">
        <x:v>其他</x:v>
      </x:c>
      <x:c r="H77" s="30" t="n">
        <x:v>0</x:v>
      </x:c>
      <x:c r="I77" s="30" t="n">
        <x:v>1</x:v>
      </x:c>
      <x:c r="J77" s="30" t="n">
        <x:v>3425</x:v>
      </x:c>
      <x:c r="K77" s="32" t="str">
        <x:v>無 YouTube</x:v>
      </x:c>
      <x:c r="L77" s="32" t="str">
        <x:v>原文取自2009年5月某一號天理時報 -- 《第一屆「信仰研討會」摘譯 》 給躊躇於信仰之道的青年朋友 松本 滋 作者簡介： 一九三三 年 出生於東京 。 一九五五 年畢業於東京大學文學院宗教學宗教史學科。一九六二年至一九六七年，赴美國哈佛大學留學，並取得博士學位。歸國後，身兼谿鄉分教會會長、聖心女子大學教授及天理大學…</x:v>
      </x:c>
      <x:c r="M77" s="35" t="e">
        <x:f>HYPERLINK("https://tenristudy.blogspot.com/2015/02/blog-post.html","點這裡閱讀原文")</x:f>
        <x:v>HYPERLINK is not implemented. linkLocation=https://tenristudy.blogspot.com/2015/02/blog-post.html, friendlyName=點這裡閱讀原文</x:v>
      </x:c>
      <x:c r="N77" s="32" t="str">
        <x:v>content/archive/matsumoto/teaching-t-article-young-be70f180.md</x:v>
      </x:c>
      <x:c r="O77" s="32" t="str"/>
    </x:row>
    <x:row r="78">
      <x:c r="A78" s="30" t="n">
        <x:v>13</x:v>
      </x:c>
      <x:c r="B78" s="31" t="str">
        <x:v>已存在，不重複轉入</x:v>
      </x:c>
      <x:c r="C78" s="32" t="str">
        <x:v>kirby1215.tw 已有同名或高度相符文章。</x:v>
      </x:c>
      <x:c r="D78" s="33" t="str">
        <x:v>待決定</x:v>
      </x:c>
      <x:c r="E78" s="34" t="d">
        <x:v>2020-04-20T13:18:00.000Z</x:v>
      </x:c>
      <x:c r="F78" s="32" t="str">
        <x:v>二者合一為天之理</x:v>
      </x:c>
      <x:c r="G78" s="32" t="str">
        <x:v>其他</x:v>
      </x:c>
      <x:c r="H78" s="30" t="n">
        <x:v>0</x:v>
      </x:c>
      <x:c r="I78" s="30" t="n">
        <x:v>0</x:v>
      </x:c>
      <x:c r="J78" s="30" t="n">
        <x:v>847</x:v>
      </x:c>
      <x:c r="K78" s="32" t="str">
        <x:v>無 YouTube</x:v>
      </x:c>
      <x:c r="L78" s="32" t="str">
        <x:v>鈴鹿の友 2006年5月 第407號 二者合一為天之理 富山吉孝 富山會長在我在日本期間非常照顧我。去年(2016年)在即將交接會長一職之際，將過去擔任會長期間所執筆的教會會報整理並精選編定成冊，書名為「宛如螺旋」，意指「我們似乎不斷在重覆同樣事情，但就像螺旋梯上昇一樣，內心一點一點成長。我想人生真是「宛如螺旋」。」 …</x:v>
      </x:c>
      <x:c r="M78" s="35" t="e">
        <x:f>HYPERLINK("https://tenristudy.blogspot.com/2020/04/blog-post_20.html","點這裡閱讀原文")</x:f>
        <x:v>HYPERLINK is not implemented. linkLocation=https://tenristudy.blogspot.com/2020/04/blog-post_20.html, friendlyName=點這裡閱讀原文</x:v>
      </x:c>
      <x:c r="N78" s="32" t="str">
        <x:v>content/posts/二者合一為天之理.md</x:v>
      </x:c>
      <x:c r="O78" s="32" t="str"/>
    </x:row>
    <x:row r="79">
      <x:c r="A79" s="30" t="n">
        <x:v>14</x:v>
      </x:c>
      <x:c r="B79" s="31" t="str">
        <x:v>已存在，不重複轉入</x:v>
      </x:c>
      <x:c r="C79" s="32" t="str">
        <x:v>kirby1215.tw 已有同名或高度相符文章。</x:v>
      </x:c>
      <x:c r="D79" s="33" t="str">
        <x:v>待決定</x:v>
      </x:c>
      <x:c r="E79" s="34" t="d">
        <x:v>2020-04-20T13:31:00.000Z</x:v>
      </x:c>
      <x:c r="F79" s="32" t="str">
        <x:v>2015/07/21</x:v>
      </x:c>
      <x:c r="G79" s="32" t="str">
        <x:v>表哥</x:v>
      </x:c>
      <x:c r="H79" s="30" t="n">
        <x:v>0</x:v>
      </x:c>
      <x:c r="I79" s="30" t="n">
        <x:v>0</x:v>
      </x:c>
      <x:c r="J79" s="30" t="n">
        <x:v>1020</x:v>
      </x:c>
      <x:c r="K79" s="32" t="str">
        <x:v>無 YouTube</x:v>
      </x:c>
      <x:c r="L79" s="32" t="str">
        <x:v>前幾天去憩之家醫院探望一位巴西來的病人。這位巴西叔叔自去年中左右被發現罹患癌症，每隔一段時間就會從三重縣伊賀市開車過來天理接受治療。今年初住院的時候，夫人來巴西母屋過夜而結識，從此以後只要知道他們來我都會去醫院幫先生祈禱。 今年五月先生身體狀況不佳，住院的時候醫生暗示夫人要不要回巴西去。夫人聽到的時候很震驚，一時沒辦法…</x:v>
      </x:c>
      <x:c r="M79" s="35" t="e">
        <x:f>HYPERLINK("https://tenristudy.blogspot.com/2020/04/20150721.html","點這裡閱讀原文")</x:f>
        <x:v>HYPERLINK is not implemented. linkLocation=https://tenristudy.blogspot.com/2020/04/20150721.html, friendlyName=點這裡閱讀原文</x:v>
      </x:c>
      <x:c r="N79" s="32" t="str">
        <x:v>content/posts/wordpress-post.md</x:v>
      </x:c>
      <x:c r="O79" s="32" t="str"/>
    </x:row>
    <x:row r="80">
      <x:c r="A80" s="30" t="n">
        <x:v>15</x:v>
      </x:c>
      <x:c r="B80" s="31" t="str">
        <x:v>已存在，不重複轉入</x:v>
      </x:c>
      <x:c r="C80" s="32" t="str">
        <x:v>kirby1215.tw 已有同名或高度相符文章。</x:v>
      </x:c>
      <x:c r="D80" s="33" t="str">
        <x:v>待決定</x:v>
      </x:c>
      <x:c r="E80" s="34" t="d">
        <x:v>2020-04-20T13:37:00.000Z</x:v>
      </x:c>
      <x:c r="F80" s="32" t="str">
        <x:v>潛修與建設 2015/08/17</x:v>
      </x:c>
      <x:c r="G80" s="32" t="str">
        <x:v>表哥</x:v>
      </x:c>
      <x:c r="H80" s="30" t="n">
        <x:v>0</x:v>
      </x:c>
      <x:c r="I80" s="30" t="n">
        <x:v>0</x:v>
      </x:c>
      <x:c r="J80" s="30" t="n">
        <x:v>1067</x:v>
      </x:c>
      <x:c r="K80" s="32" t="str">
        <x:v>無 YouTube</x:v>
      </x:c>
      <x:c r="L80" s="32" t="str">
        <x:v>每次去做神殿導覽，到祖靈殿的時候，我一定會跟第一次來天理的人講這些事情: 1. 天理教稱死亡為轉生。轉生包含了之後還會再回到世上、再活一次的意思。現在你我身上有個靈魂，從古至今不曾消滅。轉生就是把靈魂上的衣服(身體)還給父母神，靈魂也回到父母神的地方。等待下次有機會，再借一件衣服，再回到這個世界來。 2. 台灣民間信仰…</x:v>
      </x:c>
      <x:c r="M80" s="35" t="e">
        <x:f>HYPERLINK("https://tenristudy.blogspot.com/2020/04/20150817.html","點這裡閱讀原文")</x:f>
        <x:v>HYPERLINK is not implemented. linkLocation=https://tenristudy.blogspot.com/2020/04/20150817.html, friendlyName=點這裡閱讀原文</x:v>
      </x:c>
      <x:c r="N80" s="32" t="str">
        <x:v>content/archive/notes/window/window-2015-0817-9c14f54b.md</x:v>
      </x:c>
      <x:c r="O80" s="32" t="str"/>
    </x:row>
    <x:row r="81">
      <x:c r="A81" s="30" t="n">
        <x:v>16</x:v>
      </x:c>
      <x:c r="B81" s="31" t="str">
        <x:v>已存在，不重複轉入</x:v>
      </x:c>
      <x:c r="C81" s="32" t="str">
        <x:v>kirby1215.tw 已有同名或高度相符文章。</x:v>
      </x:c>
      <x:c r="D81" s="33" t="str">
        <x:v>待決定</x:v>
      </x:c>
      <x:c r="E81" s="34" t="d">
        <x:v>2020-04-21T13:26:00.000Z</x:v>
      </x:c>
      <x:c r="F81" s="32" t="str">
        <x:v>整理中文天理 2015/08/27</x:v>
      </x:c>
      <x:c r="G81" s="32" t="str">
        <x:v>表哥</x:v>
      </x:c>
      <x:c r="H81" s="30" t="n">
        <x:v>0</x:v>
      </x:c>
      <x:c r="I81" s="30" t="n">
        <x:v>0</x:v>
      </x:c>
      <x:c r="J81" s="30" t="n">
        <x:v>906</x:v>
      </x:c>
      <x:c r="K81" s="32" t="str">
        <x:v>無 YouTube</x:v>
      </x:c>
      <x:c r="L81" s="32" t="str">
        <x:v>大約在2個月前，和同事研究發現一套新版軟體可以從文字檔案中直接將文字辨識出來。由此，重新啟動我想整理中文天理的念頭。 從去年起陸續將翻譯課內保有的中文天理掃描成檔案。由於傳道廳並沒有保存舊的中文天理，翻譯課可能是唯一保存有全部已出刊中文天理的地方(是否有教會同樣保有就不得而知)。中文天理從1988年出刊至今，早期的檔案…</x:v>
      </x:c>
      <x:c r="M81" s="35" t="e">
        <x:f>HYPERLINK("https://tenristudy.blogspot.com/2020/04/20150827.html","點這裡閱讀原文")</x:f>
        <x:v>HYPERLINK is not implemented. linkLocation=https://tenristudy.blogspot.com/2020/04/20150827.html, friendlyName=點這裡閱讀原文</x:v>
      </x:c>
      <x:c r="N81" s="32" t="str">
        <x:v>content/archive/notes/window/window-2015-0827-975fe3ed.md</x:v>
      </x:c>
      <x:c r="O81" s="32" t="str"/>
    </x:row>
    <x:row r="82">
      <x:c r="A82" s="30" t="n">
        <x:v>17</x:v>
      </x:c>
      <x:c r="B82" s="31" t="str">
        <x:v>已存在，不重複轉入</x:v>
      </x:c>
      <x:c r="C82" s="32" t="str">
        <x:v>kirby1215.tw 已有同名或高度相符文章。</x:v>
      </x:c>
      <x:c r="D82" s="33" t="str">
        <x:v>待決定</x:v>
      </x:c>
      <x:c r="E82" s="34" t="d">
        <x:v>2020-04-21T13:27:00.000Z</x:v>
      </x:c>
      <x:c r="F82" s="32" t="str">
        <x:v>翻譯會議 2015/09/10</x:v>
      </x:c>
      <x:c r="G82" s="32" t="str">
        <x:v>表哥</x:v>
      </x:c>
      <x:c r="H82" s="30" t="n">
        <x:v>0</x:v>
      </x:c>
      <x:c r="I82" s="30" t="n">
        <x:v>0</x:v>
      </x:c>
      <x:c r="J82" s="30" t="n">
        <x:v>1181</x:v>
      </x:c>
      <x:c r="K82" s="32" t="str">
        <x:v>無 YouTube</x:v>
      </x:c>
      <x:c r="L82" s="32" t="str">
        <x:v>本月中，於傳道廳將舉行翻譯會議。本部海外部翻譯課三濱成太及松田純三課員前往台灣，與台灣方面的翻譯委員一起就新出版書籍開會進行討論。 中文翻譯委員約由7~10人組成，負責檢討以中文刊行之書籍、刊物等文字內容。包括三原典的中譯、天理教用語的中譯，以及別席、誓詞的官方中譯、教典教祖傳用語的表現等，都是在翻譯會議中決定。翻譯委…</x:v>
      </x:c>
      <x:c r="M82" s="35" t="e">
        <x:f>HYPERLINK("https://tenristudy.blogspot.com/2020/04/20150910.html","點這裡閱讀原文")</x:f>
        <x:v>HYPERLINK is not implemented. linkLocation=https://tenristudy.blogspot.com/2020/04/20150910.html, friendlyName=點這裡閱讀原文</x:v>
      </x:c>
      <x:c r="N82" s="32" t="str">
        <x:v>content/archive/notes/window/window-2015-0910-60af6e1a.md</x:v>
      </x:c>
      <x:c r="O82" s="32" t="str"/>
    </x:row>
    <x:row r="83">
      <x:c r="A83" s="30" t="n">
        <x:v>18</x:v>
      </x:c>
      <x:c r="B83" s="31" t="str">
        <x:v>已存在，不重複轉入</x:v>
      </x:c>
      <x:c r="C83" s="32" t="str">
        <x:v>kirby1215.tw 已有同名或高度相符文章。</x:v>
      </x:c>
      <x:c r="D83" s="33" t="str">
        <x:v>待決定</x:v>
      </x:c>
      <x:c r="E83" s="34" t="d">
        <x:v>2020-04-21T13:32:00.000Z</x:v>
      </x:c>
      <x:c r="F83" s="32" t="str">
        <x:v>M兄的煩惱 2015/09/18</x:v>
      </x:c>
      <x:c r="G83" s="32" t="str">
        <x:v>表哥</x:v>
      </x:c>
      <x:c r="H83" s="30" t="n">
        <x:v>0</x:v>
      </x:c>
      <x:c r="I83" s="30" t="n">
        <x:v>1</x:v>
      </x:c>
      <x:c r="J83" s="30" t="n">
        <x:v>1431</x:v>
      </x:c>
      <x:c r="K83" s="32" t="str">
        <x:v>無 YouTube</x:v>
      </x:c>
      <x:c r="L83" s="32" t="str">
        <x:v>不出意料，昨天晚上又收到M兄傳來的簡訊。「最近可以聊天嗎?(下禮拜)連假見個面?」「我還不知道要去哪裡。想聊天的話明天下班也可以哦。」「了解。」 大約從一年前起，M兄每隔10天到2個禮拜就會找我聊天，有時候喝過咖啡1個星期之內又會來訊。 M兄在部裡是有名的緊張大師，常常一點小錯誤就整個人神精緊繃，喃喃自語嚷著「しまった…</x:v>
      </x:c>
      <x:c r="M83" s="35" t="e">
        <x:f>HYPERLINK("https://tenristudy.blogspot.com/2020/04/m-20150918_21.html","點這裡閱讀原文")</x:f>
        <x:v>HYPERLINK is not implemented. linkLocation=https://tenristudy.blogspot.com/2020/04/m-20150918_21.html, friendlyName=點這裡閱讀原文</x:v>
      </x:c>
      <x:c r="N83" s="32" t="str">
        <x:v>content/archive/notes/window/window-2015-0918-a41ff7d2.md</x:v>
      </x:c>
      <x:c r="O83" s="32" t="str"/>
    </x:row>
    <x:row r="84">
      <x:c r="A84" s="30" t="n">
        <x:v>19</x:v>
      </x:c>
      <x:c r="B84" s="31" t="str">
        <x:v>已存在，不重複轉入</x:v>
      </x:c>
      <x:c r="C84" s="32" t="str">
        <x:v>kirby1215.tw 已有同名或高度相符文章。</x:v>
      </x:c>
      <x:c r="D84" s="33" t="str">
        <x:v>待決定</x:v>
      </x:c>
      <x:c r="E84" s="34" t="d">
        <x:v>2020-04-21T13:34:00.000Z</x:v>
      </x:c>
      <x:c r="F84" s="32" t="str">
        <x:v>台灣風味的感動 2015/09/24</x:v>
      </x:c>
      <x:c r="G84" s="32" t="str">
        <x:v>表哥</x:v>
      </x:c>
      <x:c r="H84" s="30" t="n">
        <x:v>0</x:v>
      </x:c>
      <x:c r="I84" s="30" t="n">
        <x:v>0</x:v>
      </x:c>
      <x:c r="J84" s="30" t="n">
        <x:v>1212</x:v>
      </x:c>
      <x:c r="K84" s="32" t="str">
        <x:v>無 YouTube</x:v>
      </x:c>
      <x:c r="L84" s="32" t="str">
        <x:v>2年前在大阪拿到碩士學位後，我放棄繼續攻讀博士的機會。不知為何當時完全沒有「就這樣回台灣」的打算，又回到天理來聖勞。或許因為是3年念書期間累積許多疲勞，身心都還沒恢復到原本的狀態，讓我不禁想回到天理，找回心情愉快的自己。 繼續留在日本還有另一個理由，我想把這幾年來與日本人相處的經驗寫成書。和純粹留學不同，信仰天理教、參…</x:v>
      </x:c>
      <x:c r="M84" s="35" t="e">
        <x:f>HYPERLINK("https://tenristudy.blogspot.com/2020/04/20150924.html","點這裡閱讀原文")</x:f>
        <x:v>HYPERLINK is not implemented. linkLocation=https://tenristudy.blogspot.com/2020/04/20150924.html, friendlyName=點這裡閱讀原文</x:v>
      </x:c>
      <x:c r="N84" s="32" t="str">
        <x:v>content/archive/notes/window/window-2015-0924-d9ee65d2.md</x:v>
      </x:c>
      <x:c r="O84" s="32" t="str"/>
    </x:row>
    <x:row r="85">
      <x:c r="A85" s="30" t="n">
        <x:v>20</x:v>
      </x:c>
      <x:c r="B85" s="31" t="str">
        <x:v>已存在，不重複轉入</x:v>
      </x:c>
      <x:c r="C85" s="32" t="str">
        <x:v>kirby1215.tw 已有同名或高度相符文章。</x:v>
      </x:c>
      <x:c r="D85" s="33" t="str">
        <x:v>待決定</x:v>
      </x:c>
      <x:c r="E85" s="34" t="d">
        <x:v>2020-04-21T13:36:00.000Z</x:v>
      </x:c>
      <x:c r="F85" s="32" t="str">
        <x:v>符合當下的信仰方式 2015/10/01</x:v>
      </x:c>
      <x:c r="G85" s="32" t="str">
        <x:v>表哥</x:v>
      </x:c>
      <x:c r="H85" s="30" t="n">
        <x:v>0</x:v>
      </x:c>
      <x:c r="I85" s="30" t="n">
        <x:v>0</x:v>
      </x:c>
      <x:c r="J85" s="30" t="n">
        <x:v>1984</x:v>
      </x:c>
      <x:c r="K85" s="32" t="str">
        <x:v>無 YouTube</x:v>
      </x:c>
      <x:c r="L85" s="32" t="str">
        <x:v>幾天前與幾個同仁閒聊。這天主要是韓國同事在發牢騷：「明年130年祭一到，很多外國人都要回自己國家。謝桑，你跟其他人回去以後都要找工作，在外面有別的事情做。我回去除了天理教以外沒別的事做。但在這裡聖勞這幾年來，沒有看到一個老師可以做學習的榜樣。我現在焦慮的就是這件事，再4個月我就要回去了。」 我說：「我跟你有同樣的感受。…</x:v>
      </x:c>
      <x:c r="M85" s="35" t="e">
        <x:f>HYPERLINK("https://tenristudy.blogspot.com/2020/04/20151001.html","點這裡閱讀原文")</x:f>
        <x:v>HYPERLINK is not implemented. linkLocation=https://tenristudy.blogspot.com/2020/04/20151001.html, friendlyName=點這裡閱讀原文</x:v>
      </x:c>
      <x:c r="N85" s="32" t="str">
        <x:v>content/archive/notes/window/window-2015-1001-9bf97bed.md</x:v>
      </x:c>
      <x:c r="O85" s="32" t="str"/>
    </x:row>
    <x:row r="86">
      <x:c r="A86" s="30" t="n">
        <x:v>21</x:v>
      </x:c>
      <x:c r="B86" s="31" t="str">
        <x:v>已存在，不重複轉入</x:v>
      </x:c>
      <x:c r="C86" s="32" t="str">
        <x:v>kirby1215.tw 已有同名或高度相符文章。</x:v>
      </x:c>
      <x:c r="D86" s="33" t="str">
        <x:v>待決定</x:v>
      </x:c>
      <x:c r="E86" s="34" t="d">
        <x:v>2020-04-21T13:37:00.000Z</x:v>
      </x:c>
      <x:c r="F86" s="32" t="str">
        <x:v>中心秩序 2015/10/08</x:v>
      </x:c>
      <x:c r="G86" s="32" t="str">
        <x:v>表哥</x:v>
      </x:c>
      <x:c r="H86" s="30" t="n">
        <x:v>0</x:v>
      </x:c>
      <x:c r="I86" s="30" t="n">
        <x:v>2</x:v>
      </x:c>
      <x:c r="J86" s="30" t="n">
        <x:v>1796</x:v>
      </x:c>
      <x:c r="K86" s="32" t="str">
        <x:v>無 YouTube</x:v>
      </x:c>
      <x:c r="L86" s="32" t="str">
        <x:v>這幾天新聞報導，執政黨總統參選人民調未有起色，黨內高層人士以其理念不符合主流民意為由，已開始發動更換候選人的動作。對總統大選只剩下不到百日的今天，無論換人動作是否收到實效，對執政黨已造成嚴重傷害。 讓人不安的消息不只如此。經濟不景氣，薪資所得下滑，近年來房價物價卻高漲，財富分配不均，年輕人普遍對前景悲觀。島外，中國經濟…</x:v>
      </x:c>
      <x:c r="M86" s="35" t="e">
        <x:f>HYPERLINK("https://tenristudy.blogspot.com/2020/04/20151008.html","點這裡閱讀原文")</x:f>
        <x:v>HYPERLINK is not implemented. linkLocation=https://tenristudy.blogspot.com/2020/04/20151008.html, friendlyName=點這裡閱讀原文</x:v>
      </x:c>
      <x:c r="N86" s="32" t="str">
        <x:v>content/posts/中心秩序.md</x:v>
      </x:c>
      <x:c r="O86" s="32" t="str"/>
    </x:row>
    <x:row r="87">
      <x:c r="A87" s="30" t="n">
        <x:v>22</x:v>
      </x:c>
      <x:c r="B87" s="31" t="str">
        <x:v>已存在，不重複轉入</x:v>
      </x:c>
      <x:c r="C87" s="32" t="str">
        <x:v>kirby1215.tw 已有同名或高度相符文章。</x:v>
      </x:c>
      <x:c r="D87" s="33" t="str">
        <x:v>待決定</x:v>
      </x:c>
      <x:c r="E87" s="34" t="d">
        <x:v>2020-04-21T13:39:00.000Z</x:v>
      </x:c>
      <x:c r="F87" s="32" t="str">
        <x:v>與躁鬱共生 2015/10/15</x:v>
      </x:c>
      <x:c r="G87" s="32" t="str">
        <x:v>表哥</x:v>
      </x:c>
      <x:c r="H87" s="30" t="n">
        <x:v>0</x:v>
      </x:c>
      <x:c r="I87" s="30" t="n">
        <x:v>0</x:v>
      </x:c>
      <x:c r="J87" s="30" t="n">
        <x:v>2100</x:v>
      </x:c>
      <x:c r="K87" s="32" t="str">
        <x:v>無 YouTube</x:v>
      </x:c>
      <x:c r="L87" s="32" t="str">
        <x:v>(寫於10月10日) 今天早上，一如往常在6點半醒來，稍做盥洗後就到小書桌前進行早上的功課。為了有朝一日可以用德文唱貝多芬的「快樂頌」，早上若沒其他事我就會小讀一下德文。學德文一直是我的夢想，目前只是一直查單字一邊習慣德文句型，距離讀席勒的詩還有很長的路要走。日文，嗯，至今我還是覺得是個意外。 不過今天眼睛感到異常疲勞…</x:v>
      </x:c>
      <x:c r="M87" s="35" t="e">
        <x:f>HYPERLINK("https://tenristudy.blogspot.com/2020/04/20151015.html","點這裡閱讀原文")</x:f>
        <x:v>HYPERLINK is not implemented. linkLocation=https://tenristudy.blogspot.com/2020/04/20151015.html, friendlyName=點這裡閱讀原文</x:v>
      </x:c>
      <x:c r="N87" s="32" t="str">
        <x:v>content/archive/notes/window/window-2015-1015-6b9e5f7f.md</x:v>
      </x:c>
      <x:c r="O87" s="32" t="str"/>
    </x:row>
    <x:row r="88">
      <x:c r="A88" s="30" t="n">
        <x:v>23</x:v>
      </x:c>
      <x:c r="B88" s="31" t="str">
        <x:v>已存在，不重複轉入</x:v>
      </x:c>
      <x:c r="C88" s="32" t="str">
        <x:v>kirby1215.tw 已有同名或高度相符文章。</x:v>
      </x:c>
      <x:c r="D88" s="33" t="str">
        <x:v>待決定</x:v>
      </x:c>
      <x:c r="E88" s="34" t="d">
        <x:v>2020-04-21T13:49:00.000Z</x:v>
      </x:c>
      <x:c r="F88" s="32" t="str">
        <x:v>網路生活 2015/10/22</x:v>
      </x:c>
      <x:c r="G88" s="32" t="str">
        <x:v>表哥</x:v>
      </x:c>
      <x:c r="H88" s="30" t="n">
        <x:v>0</x:v>
      </x:c>
      <x:c r="I88" s="30" t="n">
        <x:v>1</x:v>
      </x:c>
      <x:c r="J88" s="30" t="n">
        <x:v>1828</x:v>
      </x:c>
      <x:c r="K88" s="32" t="str">
        <x:v>無 YouTube</x:v>
      </x:c>
      <x:c r="L88" s="32" t="str">
        <x:v>認識廖先生已經有很多年了，是透過大學社團學妹的廖太太介紹認識的。 廖先生大學時念數學系，後來立志當設計師，拿到工業設計學位後與朋友創業開工作室。也許因為我們都是理科逃兵，在新的領域找到自己的興趣，每次見面總有聊不完的話。 有一次我們聊到網路科技及智慧手機如何改變人的生活，讓連繫、資訊傳遞更加頻繁且迅速。在無意識下就會蹦…</x:v>
      </x:c>
      <x:c r="M88" s="35" t="e">
        <x:f>HYPERLINK("https://tenristudy.blogspot.com/2020/04/20151022.html","點這裡閱讀原文")</x:f>
        <x:v>HYPERLINK is not implemented. linkLocation=https://tenristudy.blogspot.com/2020/04/20151022.html, friendlyName=點這裡閱讀原文</x:v>
      </x:c>
      <x:c r="N88" s="32" t="str">
        <x:v>content/archive/notes/window/window-2015-1022-7e58de10.md</x:v>
      </x:c>
      <x:c r="O88" s="32" t="str"/>
    </x:row>
    <x:row r="89">
      <x:c r="A89" s="30" t="n">
        <x:v>24</x:v>
      </x:c>
      <x:c r="B89" s="31" t="str">
        <x:v>已存在，不重複轉入</x:v>
      </x:c>
      <x:c r="C89" s="32" t="str">
        <x:v>kirby1215.tw 已有同名或高度相符文章。</x:v>
      </x:c>
      <x:c r="D89" s="33" t="str">
        <x:v>待決定</x:v>
      </x:c>
      <x:c r="E89" s="34" t="d">
        <x:v>2020-04-21T13:50:59.999Z</x:v>
      </x:c>
      <x:c r="F89" s="32" t="str">
        <x:v>脫離天理的教團 2015/10/29</x:v>
      </x:c>
      <x:c r="G89" s="32" t="str">
        <x:v>表哥</x:v>
      </x:c>
      <x:c r="H89" s="30" t="n">
        <x:v>0</x:v>
      </x:c>
      <x:c r="I89" s="30" t="n">
        <x:v>1</x:v>
      </x:c>
      <x:c r="J89" s="30" t="n">
        <x:v>1953</x:v>
      </x:c>
      <x:c r="K89" s="32" t="str">
        <x:v>無 YouTube</x:v>
      </x:c>
      <x:c r="L89" s="32" t="str">
        <x:v>26日大祭結束後，下午我與幾個海外部同仁一起到青年會前夜祭的會場佈置場地，最主要是要把招牌架起來，因此帶來木條當場量尺寸、切割、打釘。 這時候草坪前面走來一位阿嬤，看似一家人祖孫三代的樣子，阿嬤問：「請問這裡要舉辦什麼活動嗎？」看來顯然是不知道晚上要舉行前夜祭的樣子。我說，這是青年會的活動，明天有青年會大會，今晚各分會…</x:v>
      </x:c>
      <x:c r="M89" s="35" t="e">
        <x:f>HYPERLINK("https://tenristudy.blogspot.com/2020/04/20151029.html","點這裡閱讀原文")</x:f>
        <x:v>HYPERLINK is not implemented. linkLocation=https://tenristudy.blogspot.com/2020/04/20151029.html, friendlyName=點這裡閱讀原文</x:v>
      </x:c>
      <x:c r="N89" s="32" t="str">
        <x:v>content/archive/notes/window/window-2015-1029-e0a463ac.md</x:v>
      </x:c>
      <x:c r="O89" s="32" t="str"/>
    </x:row>
    <x:row r="90">
      <x:c r="A90" s="30" t="n">
        <x:v>25</x:v>
      </x:c>
      <x:c r="B90" s="31" t="str">
        <x:v>已存在，不重複轉入</x:v>
      </x:c>
      <x:c r="C90" s="32" t="str">
        <x:v>kirby1215.tw 已有同名或高度相符文章。</x:v>
      </x:c>
      <x:c r="D90" s="33" t="str">
        <x:v>待決定</x:v>
      </x:c>
      <x:c r="E90" s="34" t="d">
        <x:v>2020-04-21T14:06:59.999Z</x:v>
      </x:c>
      <x:c r="F90" s="32" t="str">
        <x:v>近藤誠醫生的「抗癌法」  2015/11/05</x:v>
      </x:c>
      <x:c r="G90" s="32" t="str">
        <x:v>表哥</x:v>
      </x:c>
      <x:c r="H90" s="30" t="n">
        <x:v>0</x:v>
      </x:c>
      <x:c r="I90" s="30" t="n">
        <x:v>1</x:v>
      </x:c>
      <x:c r="J90" s="30" t="n">
        <x:v>1627</x:v>
      </x:c>
      <x:c r="K90" s="32" t="str">
        <x:v>無 YouTube</x:v>
      </x:c>
      <x:c r="L90" s="32" t="str">
        <x:v>近藤誠為放射線治療科醫生，乳癌權威，也曾是慶應大學講師，退休後主持「近藤誠癌症研究所」。近藤醫師同時也是普及醫學書籍作家，寫過如「癌症別急著開刀」、「患者啊，不要與癌症鬥爭」、「癌症的放任自流療法」等書，其中「不要被醫生殺死： 47 個心得」已突破百萬本，並於 2012 年榮獲國家獎章。 近藤醫師擁有超過 30 年的看…</x:v>
      </x:c>
      <x:c r="M90" s="35" t="e">
        <x:f>HYPERLINK("https://tenristudy.blogspot.com/2020/04/20151105.html","點這裡閱讀原文")</x:f>
        <x:v>HYPERLINK is not implemented. linkLocation=https://tenristudy.blogspot.com/2020/04/20151105.html, friendlyName=點這裡閱讀原文</x:v>
      </x:c>
      <x:c r="N90" s="32" t="str">
        <x:v>content/archive/notes/window/window-2015-1105-b7341b59.md</x:v>
      </x:c>
      <x:c r="O90" s="32" t="str"/>
    </x:row>
    <x:row r="91">
      <x:c r="A91" s="30" t="n">
        <x:v>26</x:v>
      </x:c>
      <x:c r="B91" s="31" t="str">
        <x:v>已存在，不重複轉入</x:v>
      </x:c>
      <x:c r="C91" s="32" t="str">
        <x:v>kirby1215.tw 已有同名或高度相符文章。</x:v>
      </x:c>
      <x:c r="D91" s="33" t="str">
        <x:v>待決定</x:v>
      </x:c>
      <x:c r="E91" s="34" t="d">
        <x:v>2020-04-21T14:22:00.000Z</x:v>
      </x:c>
      <x:c r="F91" s="32" t="str">
        <x:v>在神的面前  2015/11/12</x:v>
      </x:c>
      <x:c r="G91" s="32" t="str">
        <x:v>表哥</x:v>
      </x:c>
      <x:c r="H91" s="30" t="n">
        <x:v>0</x:v>
      </x:c>
      <x:c r="I91" s="30" t="n">
        <x:v>1</x:v>
      </x:c>
      <x:c r="J91" s="30" t="n">
        <x:v>1280</x:v>
      </x:c>
      <x:c r="K91" s="32" t="str">
        <x:v>無 YouTube</x:v>
      </x:c>
      <x:c r="L91" s="32" t="str">
        <x:v>近理工科系出身的我，一直到24歲才聽第一次別席，27歲才真正開始了解天理教。有人問為什麼會信天理教，我說我喜歡「康樂生活」的教義，信仰起來沒有負擔；有人問有沒有看過神蹟，我說在修養科期間有看過不能站的人在旁人祈禱後站了起來，但這不是信服我的主要原因。 天下宗教何奇多，比天理教大，社會貢獻、教義都比天理教深厚紮實的宗教也…</x:v>
      </x:c>
      <x:c r="M91" s="35" t="e">
        <x:f>HYPERLINK("https://tenristudy.blogspot.com/2020/04/20151112.html","點這裡閱讀原文")</x:f>
        <x:v>HYPERLINK is not implemented. linkLocation=https://tenristudy.blogspot.com/2020/04/20151112.html, friendlyName=點這裡閱讀原文</x:v>
      </x:c>
      <x:c r="N91" s="32" t="str">
        <x:v>content/archive/notes/window/window-2015-1112-58631560.md</x:v>
      </x:c>
      <x:c r="O91" s="32" t="str"/>
    </x:row>
    <x:row r="92">
      <x:c r="A92" s="30" t="n">
        <x:v>27</x:v>
      </x:c>
      <x:c r="B92" s="31" t="str">
        <x:v>已存在，不重複轉入</x:v>
      </x:c>
      <x:c r="C92" s="32" t="str">
        <x:v>kirby1215.tw 已有同名或高度相符文章。</x:v>
      </x:c>
      <x:c r="D92" s="33" t="str">
        <x:v>待決定</x:v>
      </x:c>
      <x:c r="E92" s="34" t="d">
        <x:v>2020-04-24T13:10:00.000Z</x:v>
      </x:c>
      <x:c r="F92" s="32" t="str">
        <x:v>跨國婚姻・跨國信仰 2015/11/19</x:v>
      </x:c>
      <x:c r="G92" s="32" t="str">
        <x:v>表哥</x:v>
      </x:c>
      <x:c r="H92" s="30" t="n">
        <x:v>0</x:v>
      </x:c>
      <x:c r="I92" s="30" t="n">
        <x:v>0</x:v>
      </x:c>
      <x:c r="J92" s="30" t="n">
        <x:v>1094</x:v>
      </x:c>
      <x:c r="K92" s="32" t="str">
        <x:v>無 YouTube</x:v>
      </x:c>
      <x:c r="L92" s="32" t="str">
        <x:v>我服務的部門是海外關係部門，同事裡許多人是國際結婚，外國人嫁來日本或日本人嫁去外國的例子都不少。 今年暑假去青森的教會住了幾天。會長夫人與會長是天理高中的同學，夫人20歲時從老家岡山嫁到青森。她說30幾年前嫁過來的時候，青森腔跟標準日文差很多，前面2年幾乎無法溝通，想回娘家也不方便，而且又是嫁到教會很多事情要忙，生活等…</x:v>
      </x:c>
      <x:c r="M92" s="35" t="e">
        <x:f>HYPERLINK("https://tenristudy.blogspot.com/2020/04/20151119.html","點這裡閱讀原文")</x:f>
        <x:v>HYPERLINK is not implemented. linkLocation=https://tenristudy.blogspot.com/2020/04/20151119.html, friendlyName=點這裡閱讀原文</x:v>
      </x:c>
      <x:c r="N92" s="32" t="str">
        <x:v>content/archive/notes/window/window-2015-1119-fa41a0a3.md</x:v>
      </x:c>
      <x:c r="O92" s="32" t="str"/>
    </x:row>
    <x:row r="93">
      <x:c r="A93" s="30" t="n">
        <x:v>28</x:v>
      </x:c>
      <x:c r="B93" s="31" t="str">
        <x:v>已存在，不重複轉入</x:v>
      </x:c>
      <x:c r="C93" s="32" t="str">
        <x:v>kirby1215.tw 已有同名或高度相符文章。</x:v>
      </x:c>
      <x:c r="D93" s="33" t="str">
        <x:v>待決定</x:v>
      </x:c>
      <x:c r="E93" s="34" t="d">
        <x:v>2020-04-24T13:12:00.000Z</x:v>
      </x:c>
      <x:c r="F93" s="32" t="str">
        <x:v>基因的記憶力 2015/11/26</x:v>
      </x:c>
      <x:c r="G93" s="32" t="str">
        <x:v>表哥</x:v>
      </x:c>
      <x:c r="H93" s="30" t="n">
        <x:v>0</x:v>
      </x:c>
      <x:c r="I93" s="30" t="n">
        <x:v>1</x:v>
      </x:c>
      <x:c r="J93" s="30" t="n">
        <x:v>1340</x:v>
      </x:c>
      <x:c r="K93" s="32" t="str">
        <x:v>無 YouTube</x:v>
      </x:c>
      <x:c r="L93" s="32" t="str">
        <x:v>來日本這幾年來，我幾乎身體都很健康，很少生病。當然啦，冬天天氣太冷，在外面待太久的話很容易體力透支，然後不小心著涼需要休息。但真正發燒感冒到必須請假的情況幾乎都沒發生過，即使有不吃藥睡1到2天就能恢復正常。 不過有件事情卻讓我很困擾，就是來日本以後牙齦似乎慢慢在退後。每次定期去做檢查，天理市的「中島齒科」醫生總是會把我…</x:v>
      </x:c>
      <x:c r="M93" s="35" t="e">
        <x:f>HYPERLINK("https://tenristudy.blogspot.com/2020/04/20151126.html","點這裡閱讀原文")</x:f>
        <x:v>HYPERLINK is not implemented. linkLocation=https://tenristudy.blogspot.com/2020/04/20151126.html, friendlyName=點這裡閱讀原文</x:v>
      </x:c>
      <x:c r="N93" s="32" t="str">
        <x:v>content/archive/notes/window/window-2015-1126-503f53af.md</x:v>
      </x:c>
      <x:c r="O93" s="32" t="str"/>
    </x:row>
    <x:row r="94">
      <x:c r="A94" s="30" t="n">
        <x:v>29</x:v>
      </x:c>
      <x:c r="B94" s="31" t="str">
        <x:v>已存在，不重複轉入</x:v>
      </x:c>
      <x:c r="C94" s="32" t="str">
        <x:v>kirby1215.tw 已有同名或高度相符文章。</x:v>
      </x:c>
      <x:c r="D94" s="33" t="str">
        <x:v>待決定</x:v>
      </x:c>
      <x:c r="E94" s="34" t="d">
        <x:v>2020-04-24T13:14:00.000Z</x:v>
      </x:c>
      <x:c r="F94" s="32" t="str">
        <x:v>天理之道與金錢 2015/12/03</x:v>
      </x:c>
      <x:c r="G94" s="32" t="str">
        <x:v>表哥</x:v>
      </x:c>
      <x:c r="H94" s="30" t="n">
        <x:v>0</x:v>
      </x:c>
      <x:c r="I94" s="30" t="n">
        <x:v>1</x:v>
      </x:c>
      <x:c r="J94" s="30" t="n">
        <x:v>1606</x:v>
      </x:c>
      <x:c r="K94" s="32" t="str">
        <x:v>無 YouTube</x:v>
      </x:c>
      <x:c r="L94" s="32" t="str">
        <x:v>和幾個同事聊天，聊到錢的事情。 辦活動要錢，蓋教會要錢。土地，建築，物品，行政費用，修繕，水電…經營教會的活動始終於金錢脫離不了關係。不只是一般教會，大教會、本部的營運也需要錢。身分、教會的歷史淵源等很重要，但在做事情的時候，還是很難避免「出錢的人講話大聲」。 有的宗教團體明確要求信者對教會奉獻的金額，依薪水奉獻一定的…</x:v>
      </x:c>
      <x:c r="M94" s="35" t="e">
        <x:f>HYPERLINK("https://tenristudy.blogspot.com/2020/04/20151203.html","點這裡閱讀原文")</x:f>
        <x:v>HYPERLINK is not implemented. linkLocation=https://tenristudy.blogspot.com/2020/04/20151203.html, friendlyName=點這裡閱讀原文</x:v>
      </x:c>
      <x:c r="N94" s="32" t="str">
        <x:v>content/archive/notes/window/window-2015-1203-2e3d1af1.md</x:v>
      </x:c>
      <x:c r="O94" s="32" t="str"/>
    </x:row>
    <x:row r="95">
      <x:c r="A95" s="30" t="n">
        <x:v>30</x:v>
      </x:c>
      <x:c r="B95" s="31" t="str">
        <x:v>已存在，不重複轉入</x:v>
      </x:c>
      <x:c r="C95" s="32" t="str">
        <x:v>kirby1215.tw 已有同名或高度相符文章。</x:v>
      </x:c>
      <x:c r="D95" s="33" t="str">
        <x:v>待決定</x:v>
      </x:c>
      <x:c r="E95" s="34" t="d">
        <x:v>2020-04-24T13:15:00.000Z</x:v>
      </x:c>
      <x:c r="F95" s="32" t="str">
        <x:v>樂從 2015/12/10</x:v>
      </x:c>
      <x:c r="G95" s="32" t="str">
        <x:v>表哥</x:v>
      </x:c>
      <x:c r="H95" s="30" t="n">
        <x:v>0</x:v>
      </x:c>
      <x:c r="I95" s="30" t="n">
        <x:v>1</x:v>
      </x:c>
      <x:c r="J95" s="30" t="n">
        <x:v>796</x:v>
      </x:c>
      <x:c r="K95" s="32" t="str">
        <x:v>無 YouTube</x:v>
      </x:c>
      <x:c r="L95" s="32" t="str">
        <x:v>我從小畫圖畫得很不好，學校的美勞課常常畫得亂七八糟。可是我媽媽每次看到我從學校帶回來的圖畫都會說「你畫得很好啊！」然後拿起筆跟我一起修改。 國中的印象裡，晚上在家除了讀書，就是跟媽媽一起為隔天要交的美術作業奮戰。母親有美術才華，總能用畫龍點睛的方法把原本殘破不堪的畫弄得很像樣。在媽媽指導下，經過加工改造，常常隔天帶去學…</x:v>
      </x:c>
      <x:c r="M95" s="35" t="e">
        <x:f>HYPERLINK("https://tenristudy.blogspot.com/2020/04/20151210.html","點這裡閱讀原文")</x:f>
        <x:v>HYPERLINK is not implemented. linkLocation=https://tenristudy.blogspot.com/2020/04/20151210.html, friendlyName=點這裡閱讀原文</x:v>
      </x:c>
      <x:c r="N95" s="32" t="str">
        <x:v>content/archive/notes/window/window-2015-1210-bcf83227.md</x:v>
      </x:c>
      <x:c r="O95" s="32" t="str"/>
    </x:row>
    <x:row r="96">
      <x:c r="A96" s="30" t="n">
        <x:v>31</x:v>
      </x:c>
      <x:c r="B96" s="31" t="str">
        <x:v>已存在，不重複轉入</x:v>
      </x:c>
      <x:c r="C96" s="32" t="str">
        <x:v>kirby1215.tw 已有同名或高度相符文章。</x:v>
      </x:c>
      <x:c r="D96" s="33" t="str">
        <x:v>待決定</x:v>
      </x:c>
      <x:c r="E96" s="34" t="d">
        <x:v>2020-04-24T13:16:00.000Z</x:v>
      </x:c>
      <x:c r="F96" s="32" t="str">
        <x:v>掃灰塵2015/12/17</x:v>
      </x:c>
      <x:c r="G96" s="32" t="str">
        <x:v>表哥</x:v>
      </x:c>
      <x:c r="H96" s="30" t="n">
        <x:v>0</x:v>
      </x:c>
      <x:c r="I96" s="30" t="n">
        <x:v>1</x:v>
      </x:c>
      <x:c r="J96" s="30" t="n">
        <x:v>1432</x:v>
      </x:c>
      <x:c r="K96" s="32" t="str">
        <x:v>無 YouTube</x:v>
      </x:c>
      <x:c r="L96" s="32" t="str">
        <x:v>剛來日本的時候，只覺得日本人是個非常愛乾淨的民族。走在街上，家家戶戶的門面總是乾乾淨淨，窗戶、門、院子，很少看到髒兮兮的殘留汙垢。不只如此，街道、馬路，乃至社區的公園、排水溝、河川等，通常都能保持得很整潔，雜草也定期割除。 後來因學生身份以及到大阪念書，有許多機會到不同教會參加活動。每個教會不管或大或小，也是到處都保持…</x:v>
      </x:c>
      <x:c r="M96" s="35" t="e">
        <x:f>HYPERLINK("https://tenristudy.blogspot.com/2020/04/20151217.html","點這裡閱讀原文")</x:f>
        <x:v>HYPERLINK is not implemented. linkLocation=https://tenristudy.blogspot.com/2020/04/20151217.html, friendlyName=點這裡閱讀原文</x:v>
      </x:c>
      <x:c r="N96" s="32" t="str">
        <x:v>content/archive/notes/window/window-2015-1217-f7063447.md</x:v>
      </x:c>
      <x:c r="O96" s="32" t="str"/>
    </x:row>
    <x:row r="97">
      <x:c r="A97" s="30" t="n">
        <x:v>32</x:v>
      </x:c>
      <x:c r="B97" s="31" t="str">
        <x:v>已存在，不重複轉入</x:v>
      </x:c>
      <x:c r="C97" s="32" t="str">
        <x:v>kirby1215.tw 已有同名或高度相符文章。</x:v>
      </x:c>
      <x:c r="D97" s="33" t="str">
        <x:v>待決定</x:v>
      </x:c>
      <x:c r="E97" s="34" t="d">
        <x:v>2020-04-24T13:23:00.000Z</x:v>
      </x:c>
      <x:c r="F97" s="32" t="str">
        <x:v>參加音樂會　2015/12/24</x:v>
      </x:c>
      <x:c r="G97" s="32" t="str">
        <x:v>表哥</x:v>
      </x:c>
      <x:c r="H97" s="30" t="n">
        <x:v>0</x:v>
      </x:c>
      <x:c r="I97" s="30" t="n">
        <x:v>1</x:v>
      </x:c>
      <x:c r="J97" s="30" t="n">
        <x:v>1451</x:v>
      </x:c>
      <x:c r="K97" s="32" t="str">
        <x:v>無 YouTube</x:v>
      </x:c>
      <x:c r="L97" s="32" t="str">
        <x:v>上個禮拜日到大阪聽了一場音樂會。 每年到了年末，日本許多城市都會舉辦貝多芬第九號交響曲「合唱」的音樂會，也就是我們熟悉的「Mi Mi Fa So, So Fa Mi Re, Do Do Re Mi, Mi Re Re」的全曲。不只是大阪東京等大城市，例如教內的音樂團體「天理教音樂研究會」每年也會在市民會館舉辦同樣的音樂…</x:v>
      </x:c>
      <x:c r="M97" s="35" t="e">
        <x:f>HYPERLINK("https://tenristudy.blogspot.com/2020/04/20151224.html","點這裡閱讀原文")</x:f>
        <x:v>HYPERLINK is not implemented. linkLocation=https://tenristudy.blogspot.com/2020/04/20151224.html, friendlyName=點這裡閱讀原文</x:v>
      </x:c>
      <x:c r="N97" s="32" t="str">
        <x:v>content/archive/notes/window/window-2015-1224-c6c96008.md</x:v>
      </x:c>
      <x:c r="O97" s="32" t="str"/>
    </x:row>
    <x:row r="98">
      <x:c r="A98" s="30" t="n">
        <x:v>33</x:v>
      </x:c>
      <x:c r="B98" s="31" t="str">
        <x:v>已存在，不重複轉入</x:v>
      </x:c>
      <x:c r="C98" s="32" t="str">
        <x:v>kirby1215.tw 已有同名或高度相符文章。</x:v>
      </x:c>
      <x:c r="D98" s="33" t="str">
        <x:v>待決定</x:v>
      </x:c>
      <x:c r="E98" s="34" t="d">
        <x:v>2020-04-24T13:30:00.000Z</x:v>
      </x:c>
      <x:c r="F98" s="32" t="str">
        <x:v>搗年糕 2016/01/07</x:v>
      </x:c>
      <x:c r="G98" s="32" t="str">
        <x:v>表哥</x:v>
      </x:c>
      <x:c r="H98" s="30" t="n">
        <x:v>0</x:v>
      </x:c>
      <x:c r="I98" s="30" t="n">
        <x:v>19</x:v>
      </x:c>
      <x:c r="J98" s="30" t="n">
        <x:v>1185</x:v>
      </x:c>
      <x:c r="K98" s="32" t="str">
        <x:v>無 YouTube</x:v>
      </x:c>
      <x:c r="L98" s="32" t="str">
        <x:v>這幾年如果年尾有空，我都會到位在三重縣的鈴鹿分教會，與教會裡的人一起搗年糕。 天理教的新年搗年糕活動已有約140年的歷史。大約在1870年前後，教祖與家人走過赤貧的深淵，過年期間開始有信者會拿年糕來奉獻給神。隨著得救的人越來越多，年糕的量也逐年增加，宅院裡的人將吃不完的年糕招待前來參拜的信者，這就是每年1月5日到7日在…</x:v>
      </x:c>
      <x:c r="M98" s="35" t="e">
        <x:f>HYPERLINK("https://tenristudy.blogspot.com/2020/04/20160107.html","點這裡閱讀原文")</x:f>
        <x:v>HYPERLINK is not implemented. linkLocation=https://tenristudy.blogspot.com/2020/04/20160107.html, friendlyName=點這裡閱讀原文</x:v>
      </x:c>
      <x:c r="N98" s="32" t="str">
        <x:v>content/archive/notes/window/window-2016-0107-231ea344.md</x:v>
      </x:c>
      <x:c r="O98" s="32" t="str"/>
    </x:row>
    <x:row r="99">
      <x:c r="A99" s="30" t="n">
        <x:v>34</x:v>
      </x:c>
      <x:c r="B99" s="31" t="str">
        <x:v>已存在，不重複轉入</x:v>
      </x:c>
      <x:c r="C99" s="32" t="str">
        <x:v>kirby1215.tw 已有同名或高度相符文章。</x:v>
      </x:c>
      <x:c r="D99" s="33" t="str">
        <x:v>待決定</x:v>
      </x:c>
      <x:c r="E99" s="34" t="d">
        <x:v>2020-04-24T13:32:00.000Z</x:v>
      </x:c>
      <x:c r="F99" s="32" t="str">
        <x:v>網路播香 2016/01/14</x:v>
      </x:c>
      <x:c r="G99" s="32" t="str">
        <x:v>表哥</x:v>
      </x:c>
      <x:c r="H99" s="30" t="n">
        <x:v>0</x:v>
      </x:c>
      <x:c r="I99" s="30" t="n">
        <x:v>1</x:v>
      </x:c>
      <x:c r="J99" s="30" t="n">
        <x:v>1508</x:v>
      </x:c>
      <x:c r="K99" s="32" t="str">
        <x:v>無 YouTube</x:v>
      </x:c>
      <x:c r="L99" s="32" t="str">
        <x:v>「這個月會回去,但停留的時間很短暫。因為買了JR pass想往遠一點之前未到過的地方，一路往北海道方向一直到"網走",也可把之前的傳單再傳遠一點。以後有想往其他國家播香。有在規劃以街頭藝人方式吸引一些國外人士，再藉此將傳單結合傳播出去,因此現在有一點空的時候也在積極地練樂器」寫信問邱先生月底的年祭會不會回來，得到這樣的…</x:v>
      </x:c>
      <x:c r="M99" s="35" t="e">
        <x:f>HYPERLINK("https://tenristudy.blogspot.com/2020/04/20160114.html","點這裡閱讀原文")</x:f>
        <x:v>HYPERLINK is not implemented. linkLocation=https://tenristudy.blogspot.com/2020/04/20160114.html, friendlyName=點這裡閱讀原文</x:v>
      </x:c>
      <x:c r="N99" s="32" t="str">
        <x:v>content/archive/notes/window/window-2016-0114-e16687b4.md</x:v>
      </x:c>
      <x:c r="O99" s="32" t="str"/>
    </x:row>
    <x:row r="100">
      <x:c r="A100" s="30" t="n">
        <x:v>35</x:v>
      </x:c>
      <x:c r="B100" s="31" t="str">
        <x:v>已存在，不重複轉入</x:v>
      </x:c>
      <x:c r="C100" s="32" t="str">
        <x:v>kirby1215.tw 已有同名或高度相符文章。</x:v>
      </x:c>
      <x:c r="D100" s="33" t="str">
        <x:v>待決定</x:v>
      </x:c>
      <x:c r="E100" s="34" t="d">
        <x:v>2020-04-24T13:34:00.000Z</x:v>
      </x:c>
      <x:c r="F100" s="32" t="str">
        <x:v>年祭活動 2016/01/21</x:v>
      </x:c>
      <x:c r="G100" s="32" t="str">
        <x:v>表哥</x:v>
      </x:c>
      <x:c r="H100" s="30" t="n">
        <x:v>0</x:v>
      </x:c>
      <x:c r="I100" s="30" t="n">
        <x:v>1</x:v>
      </x:c>
      <x:c r="J100" s="30" t="n">
        <x:v>1069</x:v>
      </x:c>
      <x:c r="K100" s="32" t="str">
        <x:v>無 YouTube</x:v>
      </x:c>
      <x:c r="L100" s="32" t="str">
        <x:v>教祖130年祭活動，將在下個星期二，也就是1月26曰大祭當天達到最高潮。日本教友當然預計在當天聚集於原地，包括台灣在內的世界各國教友也盡可能在當天回到原地來參拜。本部從3年前真柱先生發佈文告第三號以來便展開準備工作，特別是去年一整年密集的開會籌備，可以說就是為了迎接這次十年一度的高峰。 最早的年祭活動是在教祖隱去身影後…</x:v>
      </x:c>
      <x:c r="M100" s="35" t="e">
        <x:f>HYPERLINK("https://tenristudy.blogspot.com/2020/04/20160121.html","點這裡閱讀原文")</x:f>
        <x:v>HYPERLINK is not implemented. linkLocation=https://tenristudy.blogspot.com/2020/04/20160121.html, friendlyName=點這裡閱讀原文</x:v>
      </x:c>
      <x:c r="N100" s="32" t="str">
        <x:v>content/archive/notes/window/window-2016-0121-6b194c22.md</x:v>
      </x:c>
      <x:c r="O100" s="32" t="str"/>
    </x:row>
    <x:row r="101">
      <x:c r="A101" s="30" t="n">
        <x:v>36</x:v>
      </x:c>
      <x:c r="B101" s="31" t="str">
        <x:v>已存在，不重複轉入</x:v>
      </x:c>
      <x:c r="C101" s="32" t="str">
        <x:v>kirby1215.tw 已有同名或高度相符文章。</x:v>
      </x:c>
      <x:c r="D101" s="33" t="str">
        <x:v>待決定</x:v>
      </x:c>
      <x:c r="E101" s="34" t="d">
        <x:v>2020-04-24T13:50:00.000Z</x:v>
      </x:c>
      <x:c r="F101" s="32" t="str">
        <x:v>燃燒青春(2016-0128)</x:v>
      </x:c>
      <x:c r="G101" s="32" t="str">
        <x:v>表哥</x:v>
      </x:c>
      <x:c r="H101" s="30" t="n">
        <x:v>0</x:v>
      </x:c>
      <x:c r="I101" s="30" t="n">
        <x:v>1</x:v>
      </x:c>
      <x:c r="J101" s="30" t="n">
        <x:v>2089</x:v>
      </x:c>
      <x:c r="K101" s="32" t="str">
        <x:v>無 YouTube</x:v>
      </x:c>
      <x:c r="L101" s="32" t="str">
        <x:v>今天和喜子一起在38母屋值班。天理教十年一度的大活動「教祖年祭」在26號結束，由於事前不斷跟教友宣導這次年祭活動只有一天要把握機會，果 然當天湧入20萬人，是最近20年來最多人聚集的一次。但隔天27號起留在天理的人馬上減少，恢復成原本假日的情況。我們的特別工作依然會持續到31號， 讓來不及回來的人還感受得到年祭氣氛。這…</x:v>
      </x:c>
      <x:c r="M101" s="35" t="e">
        <x:f>HYPERLINK("https://tenristudy.blogspot.com/2020/04/2016-0128.html","點這裡閱讀原文")</x:f>
        <x:v>HYPERLINK is not implemented. linkLocation=https://tenristudy.blogspot.com/2020/04/2016-0128.html, friendlyName=點這裡閱讀原文</x:v>
      </x:c>
      <x:c r="N101" s="32" t="str">
        <x:v>content/archive/notes/window/window-2016-0128-2f4dbd30.md</x:v>
      </x:c>
      <x:c r="O101" s="32" t="str"/>
    </x:row>
    <x:row r="102">
      <x:c r="A102" s="30" t="n">
        <x:v>37</x:v>
      </x:c>
      <x:c r="B102" s="31" t="str">
        <x:v>已存在，不重複轉入</x:v>
      </x:c>
      <x:c r="C102" s="32" t="str">
        <x:v>kirby1215.tw 已有同名或高度相符文章。</x:v>
      </x:c>
      <x:c r="D102" s="33" t="str">
        <x:v>待決定</x:v>
      </x:c>
      <x:c r="E102" s="34" t="d">
        <x:v>2020-04-24T13:52:00.000Z</x:v>
      </x:c>
      <x:c r="F102" s="32" t="str">
        <x:v>小談奉獻 (2016-0204)</x:v>
      </x:c>
      <x:c r="G102" s="32" t="str">
        <x:v>表哥</x:v>
      </x:c>
      <x:c r="H102" s="30" t="n">
        <x:v>0</x:v>
      </x:c>
      <x:c r="I102" s="30" t="n">
        <x:v>1</x:v>
      </x:c>
      <x:c r="J102" s="30" t="n">
        <x:v>1304</x:v>
      </x:c>
      <x:c r="K102" s="32" t="str">
        <x:v>無 YouTube</x:v>
      </x:c>
      <x:c r="L102" s="32" t="str">
        <x:v>跟一位住在天理的中國女孩聊天。說到奉獻，她說她無法接受把錢投到奉獻箱裡。「這些錢投進去以後到我不知道它會用到哪裡去。在中國，有很多人賺了很多錢，他覺得有愧社會，他拿去幫助窮人，或者成立獎學金給沒有錢的孩子讀書。這樣子比較有意義。」 我跟這位女孩聊過幾次。她原本留學的時候會參加教會月次祭，但來到天理以後反而變得不喜歡天理…</x:v>
      </x:c>
      <x:c r="M102" s="35" t="e">
        <x:f>HYPERLINK("https://tenristudy.blogspot.com/2020/04/2016-0204.html","點這裡閱讀原文")</x:f>
        <x:v>HYPERLINK is not implemented. linkLocation=https://tenristudy.blogspot.com/2020/04/2016-0204.html, friendlyName=點這裡閱讀原文</x:v>
      </x:c>
      <x:c r="N102" s="32" t="str">
        <x:v>content/archive/notes/window/window-2016-0204-532e0ddd.md</x:v>
      </x:c>
      <x:c r="O102" s="32" t="str"/>
    </x:row>
    <x:row r="103">
      <x:c r="A103" s="30" t="n">
        <x:v>38</x:v>
      </x:c>
      <x:c r="B103" s="31" t="str">
        <x:v>已存在，不重複轉入</x:v>
      </x:c>
      <x:c r="C103" s="32" t="str">
        <x:v>kirby1215.tw 已有同名或高度相符文章。</x:v>
      </x:c>
      <x:c r="D103" s="33" t="str">
        <x:v>待決定</x:v>
      </x:c>
      <x:c r="E103" s="34" t="d">
        <x:v>2020-04-24T14:03:59.999Z</x:v>
      </x:c>
      <x:c r="F103" s="32" t="str">
        <x:v>西伯利亞的考驗 (2016-0211)</x:v>
      </x:c>
      <x:c r="G103" s="32" t="str">
        <x:v>表哥</x:v>
      </x:c>
      <x:c r="H103" s="30" t="n">
        <x:v>0</x:v>
      </x:c>
      <x:c r="I103" s="30" t="n">
        <x:v>1</x:v>
      </x:c>
      <x:c r="J103" s="30" t="n">
        <x:v>1646</x:v>
      </x:c>
      <x:c r="K103" s="32" t="str">
        <x:v>無 YouTube</x:v>
      </x:c>
      <x:c r="L103" s="32" t="str">
        <x:v>晚上值班的時候，電話響起，對方要找借宿在二樓的加藤先生。轉接給加藤先生，加藤先生不知道怎麼使用電話，因此向他說明了一次。 隔天，同事在值班的時候，電話又打來，同樣的，又跟加藤先生再說明了一次。當時在場的我心想，這位老先生的記憶力似乎不太好，不然就是手上有事情在忙。 早上，加藤先生總是很早就到食堂用餐。問他來天理做什麼，…</x:v>
      </x:c>
      <x:c r="M103" s="35" t="e">
        <x:f>HYPERLINK("https://tenristudy.blogspot.com/2020/04/2016-0211.html","點這裡閱讀原文")</x:f>
        <x:v>HYPERLINK is not implemented. linkLocation=https://tenristudy.blogspot.com/2020/04/2016-0211.html, friendlyName=點這裡閱讀原文</x:v>
      </x:c>
      <x:c r="N103" s="32" t="str">
        <x:v>content/archive/notes/window/window-2016-0211-96585063.md</x:v>
      </x:c>
      <x:c r="O103" s="32" t="str"/>
    </x:row>
    <x:row r="104">
      <x:c r="A104" s="30" t="n">
        <x:v>39</x:v>
      </x:c>
      <x:c r="B104" s="31" t="str">
        <x:v>已存在，不重複轉入</x:v>
      </x:c>
      <x:c r="C104" s="32" t="str">
        <x:v>kirby1215.tw 已有同名或高度相符文章。</x:v>
      </x:c>
      <x:c r="D104" s="33" t="str">
        <x:v>待決定</x:v>
      </x:c>
      <x:c r="E104" s="34" t="d">
        <x:v>2020-04-24T14:47:00.000Z</x:v>
      </x:c>
      <x:c r="F104" s="32" t="str">
        <x:v>只要是人(2016-0218)</x:v>
      </x:c>
      <x:c r="G104" s="32" t="str">
        <x:v>表哥</x:v>
      </x:c>
      <x:c r="H104" s="30" t="n">
        <x:v>0</x:v>
      </x:c>
      <x:c r="I104" s="30" t="n">
        <x:v>1</x:v>
      </x:c>
      <x:c r="J104" s="30" t="n">
        <x:v>1297</x:v>
      </x:c>
      <x:c r="K104" s="32" t="str">
        <x:v>無 YouTube</x:v>
      </x:c>
      <x:c r="L104" s="32" t="str">
        <x:v>這個月底海外部工作結束後，我打算給自己放一個半月的假。第一站是先到西日本中國地區旅遊。 預計花6天的時間，背著腳踏車，坐火車和船遊廣島、岩國、四國的松山、尾道、倉敷等地。3年前回到海外部服務以來，除了回台灣和去韓國看朋友以外沒有機會再做長時間旅行。希望可以用很省錢的方式增廣很多見識。 前幾天與同事M君商量以後，決定把整…</x:v>
      </x:c>
      <x:c r="M104" s="35" t="e">
        <x:f>HYPERLINK("https://tenristudy.blogspot.com/2020/04/2016-0218.html","點這裡閱讀原文")</x:f>
        <x:v>HYPERLINK is not implemented. linkLocation=https://tenristudy.blogspot.com/2020/04/2016-0218.html, friendlyName=點這裡閱讀原文</x:v>
      </x:c>
      <x:c r="N104" s="32" t="str">
        <x:v>content/archive/notes/window/window-2016-0218-a5e86b44.md</x:v>
      </x:c>
      <x:c r="O104" s="32" t="str"/>
    </x:row>
    <x:row r="105">
      <x:c r="A105" s="30" t="n">
        <x:v>40</x:v>
      </x:c>
      <x:c r="B105" s="31" t="str">
        <x:v>已存在，不重複轉入</x:v>
      </x:c>
      <x:c r="C105" s="32" t="str">
        <x:v>kirby1215.tw 已有同名或高度相符文章。</x:v>
      </x:c>
      <x:c r="D105" s="33" t="str">
        <x:v>待決定</x:v>
      </x:c>
      <x:c r="E105" s="34" t="d">
        <x:v>2020-04-26T13:07:00.000Z</x:v>
      </x:c>
      <x:c r="F105" s="32" t="str">
        <x:v>珍惜緣分 2016_0225</x:v>
      </x:c>
      <x:c r="G105" s="32" t="str">
        <x:v>表哥</x:v>
      </x:c>
      <x:c r="H105" s="30" t="n">
        <x:v>0</x:v>
      </x:c>
      <x:c r="I105" s="30" t="n">
        <x:v>1</x:v>
      </x:c>
      <x:c r="J105" s="30" t="n">
        <x:v>1359</x:v>
      </x:c>
      <x:c r="K105" s="32" t="str">
        <x:v>無 YouTube</x:v>
      </x:c>
      <x:c r="L105" s="32" t="str">
        <x:v>海外部的聖勞到2月27日結束了。當天原本預定每天早上例行朝會上，我和另一位韓國同事要發表離職感言。但由於前一天本部新人事異動發表，原本的例行朝會改成臨時會議，宣佈部長及庶務課長都要到其他單位，相形之下我和韓國同事的離職變成了小事。 (新部長為原田中次長，去年11月到過台灣。新庶務課長為原傳道廳書記寺田老師。) 第二次離…</x:v>
      </x:c>
      <x:c r="M105" s="35" t="e">
        <x:f>HYPERLINK("https://tenristudy.blogspot.com/2020/04/0225.html","點這裡閱讀原文")</x:f>
        <x:v>HYPERLINK is not implemented. linkLocation=https://tenristudy.blogspot.com/2020/04/0225.html, friendlyName=點這裡閱讀原文</x:v>
      </x:c>
      <x:c r="N105" s="32" t="str">
        <x:v>content/archive/notes/window/window-2016-0225-9ddd0d3c.md</x:v>
      </x:c>
      <x:c r="O105" s="32" t="str"/>
    </x:row>
    <x:row r="106">
      <x:c r="A106" s="30" t="n">
        <x:v>41</x:v>
      </x:c>
      <x:c r="B106" s="31" t="str">
        <x:v>已存在，不重複轉入</x:v>
      </x:c>
      <x:c r="C106" s="32" t="str">
        <x:v>kirby1215.tw 已有同名或高度相符文章。</x:v>
      </x:c>
      <x:c r="D106" s="33" t="str">
        <x:v>待決定</x:v>
      </x:c>
      <x:c r="E106" s="34" t="d">
        <x:v>2020-04-26T13:10:00.000Z</x:v>
      </x:c>
      <x:c r="F106" s="32" t="str">
        <x:v>松山市的奇遇 2016_0512</x:v>
      </x:c>
      <x:c r="G106" s="32" t="str">
        <x:v>表哥</x:v>
      </x:c>
      <x:c r="H106" s="30" t="n">
        <x:v>0</x:v>
      </x:c>
      <x:c r="I106" s="30" t="n">
        <x:v>2</x:v>
      </x:c>
      <x:c r="J106" s="30" t="n">
        <x:v>980</x:v>
      </x:c>
      <x:c r="K106" s="32" t="str">
        <x:v>無 YouTube</x:v>
      </x:c>
      <x:c r="L106" s="32" t="str">
        <x:v>3月初去四國旅行的遊記。 －－ 客船從吳港出發，經過幾個小島，2個小時後抵達松山觀光港。松山天氣晴朗，比廣島又熱了一些。騎車約半小時延著地圖路線進入市區，泊宿的旅館就在知名的道後溫泉附近。寄放好行李，就朝著目標松山城前進。但就在路上發生意想不到的事情。 從道後溫泉出發後稍微往南行，再往西行延松山城北面的東西向馬路前進。…</x:v>
      </x:c>
      <x:c r="M106" s="35" t="e">
        <x:f>HYPERLINK("https://tenristudy.blogspot.com/2020/04/blog-post_26.html","點這裡閱讀原文")</x:f>
        <x:v>HYPERLINK is not implemented. linkLocation=https://tenristudy.blogspot.com/2020/04/blog-post_26.html, friendlyName=點這裡閱讀原文</x:v>
      </x:c>
      <x:c r="N106" s="32" t="str">
        <x:v>content/archive/notes/window/window-2016-0512-395f7abc.md</x:v>
      </x:c>
      <x:c r="O106" s="32" t="str"/>
    </x:row>
    <x:row r="107">
      <x:c r="A107" s="30" t="n">
        <x:v>42</x:v>
      </x:c>
      <x:c r="B107" s="31" t="str">
        <x:v>已存在，不重複轉入</x:v>
      </x:c>
      <x:c r="C107" s="32" t="str">
        <x:v>kirby1215.tw 已有同名或高度相符文章。</x:v>
      </x:c>
      <x:c r="D107" s="33" t="str">
        <x:v>待決定</x:v>
      </x:c>
      <x:c r="E107" s="34" t="d">
        <x:v>2020-04-26T13:16:00.000Z</x:v>
      </x:c>
      <x:c r="F107" s="32" t="str">
        <x:v>知識與信仰 2016-0602</x:v>
      </x:c>
      <x:c r="G107" s="32" t="str">
        <x:v>表哥</x:v>
      </x:c>
      <x:c r="H107" s="30" t="n">
        <x:v>0</x:v>
      </x:c>
      <x:c r="I107" s="30" t="n">
        <x:v>1</x:v>
      </x:c>
      <x:c r="J107" s="30" t="n">
        <x:v>1228</x:v>
      </x:c>
      <x:c r="K107" s="32" t="str">
        <x:v>無 YouTube</x:v>
      </x:c>
      <x:c r="L107" s="32" t="str">
        <x:v>研究所的學妹來家裡聊天。學妹幾年前去關西旅行的時候住在天理，當時在三濱先生的推薦下聽了一席別席。去年也到過天理一趟。 學妹在大學期間就很關心公共議題，聊天的話題常常是政治、社會運動、外國情勢。父母在中部務農，前幾年發生大埔事件時她特別激動。但說到信仰，仍然敬而遠之。 學妹說，她相信知識，透過辯論可以找到處理事情的答案，…</x:v>
      </x:c>
      <x:c r="M107" s="35" t="e">
        <x:f>HYPERLINK("https://tenristudy.blogspot.com/2020/04/2016-0602.html","點這裡閱讀原文")</x:f>
        <x:v>HYPERLINK is not implemented. linkLocation=https://tenristudy.blogspot.com/2020/04/2016-0602.html, friendlyName=點這裡閱讀原文</x:v>
      </x:c>
      <x:c r="N107" s="32" t="str">
        <x:v>content/archive/notes/window/window-2016-0602-94047aa9.md</x:v>
      </x:c>
      <x:c r="O107" s="32" t="str"/>
    </x:row>
    <x:row r="108">
      <x:c r="A108" s="30" t="n">
        <x:v>43</x:v>
      </x:c>
      <x:c r="B108" s="31" t="str">
        <x:v>已存在，不重複轉入</x:v>
      </x:c>
      <x:c r="C108" s="32" t="str">
        <x:v>kirby1215.tw 已有同名或高度相符文章。</x:v>
      </x:c>
      <x:c r="D108" s="33" t="str">
        <x:v>待決定</x:v>
      </x:c>
      <x:c r="E108" s="34" t="d">
        <x:v>2020-04-26T13:18:00.000Z</x:v>
      </x:c>
      <x:c r="F108" s="32" t="str">
        <x:v>探索靈魂2016_0609</x:v>
      </x:c>
      <x:c r="G108" s="32" t="str">
        <x:v>表哥</x:v>
      </x:c>
      <x:c r="H108" s="30" t="n">
        <x:v>0</x:v>
      </x:c>
      <x:c r="I108" s="30" t="n">
        <x:v>1</x:v>
      </x:c>
      <x:c r="J108" s="30" t="n">
        <x:v>1785</x:v>
      </x:c>
      <x:c r="K108" s="32" t="str">
        <x:v>無 YouTube</x:v>
      </x:c>
      <x:c r="L108" s="32" t="str">
        <x:v>科學無法證明的東西，很難被人相信。在強調理性的風潮裡，帶有神祕色彩的東西，很難成為主流的社會活動。即使如達賴喇嘛這樣在全世界有影響力的宗教家也不得不重視這個潮流，他定期邀請世界知名的科學家進行宗教、科學對談，也要求信徒將佛經裡有關自然科學的部分整理出來，供科學界人士檢討。 所以在今天，當有人討論「靈魂」這個話題時，似乎…</x:v>
      </x:c>
      <x:c r="M108" s="35" t="e">
        <x:f>HYPERLINK("https://tenristudy.blogspot.com/2020/04/20160609.html","點這裡閱讀原文")</x:f>
        <x:v>HYPERLINK is not implemented. linkLocation=https://tenristudy.blogspot.com/2020/04/20160609.html, friendlyName=點這裡閱讀原文</x:v>
      </x:c>
      <x:c r="N108" s="32" t="str">
        <x:v>content/archive/notes/window/window-2016-0609-ae400dd1.md</x:v>
      </x:c>
      <x:c r="O108" s="32" t="str"/>
    </x:row>
    <x:row r="109">
      <x:c r="A109" s="30" t="n">
        <x:v>44</x:v>
      </x:c>
      <x:c r="B109" s="31" t="str">
        <x:v>已存在，不重複轉入</x:v>
      </x:c>
      <x:c r="C109" s="32" t="str">
        <x:v>kirby1215.tw 已有同名或高度相符文章。</x:v>
      </x:c>
      <x:c r="D109" s="33" t="str">
        <x:v>待決定</x:v>
      </x:c>
      <x:c r="E109" s="34" t="d">
        <x:v>2020-04-26T13:18:59.999Z</x:v>
      </x:c>
      <x:c r="F109" s="32" t="str">
        <x:v>姑姑的信仰回憶 2016-0616</x:v>
      </x:c>
      <x:c r="G109" s="32" t="str">
        <x:v>表哥</x:v>
      </x:c>
      <x:c r="H109" s="30" t="n">
        <x:v>0</x:v>
      </x:c>
      <x:c r="I109" s="30" t="n">
        <x:v>0</x:v>
      </x:c>
      <x:c r="J109" s="30" t="n">
        <x:v>2503</x:v>
      </x:c>
      <x:c r="K109" s="32" t="str">
        <x:v>無 YouTube</x:v>
      </x:c>
      <x:c r="L109" s="32" t="str">
        <x:v>母親長年在外到處在幫傭。那時三濱先生來台灣，住在仁愛路專門租給外僑的房子。三濱太太已生了三個孩子，後來又生了第四胎(治郎)。傳道廳原本已有幫傭，可能是幫傭要離開，於是找母親進來。時間差不多是民國61~62年。當時與三濱先生之間純粹是雇主與幫傭的關係。 母親看三濱夫婦每天早晚拜拜感到好奇。看久了覺得好玩，就跟三濱太太說想…</x:v>
      </x:c>
      <x:c r="M109" s="35" t="e">
        <x:f>HYPERLINK("https://tenristudy.blogspot.com/2020/04/blog-post_90.html","點這裡閱讀原文")</x:f>
        <x:v>HYPERLINK is not implemented. linkLocation=https://tenristudy.blogspot.com/2020/04/blog-post_90.html, friendlyName=點這裡閱讀原文</x:v>
      </x:c>
      <x:c r="N109" s="32" t="str">
        <x:v>content/archive/notes/window/window-2016-0616-d4c433b4.md</x:v>
      </x:c>
      <x:c r="O109" s="32" t="str"/>
    </x:row>
    <x:row r="110">
      <x:c r="A110" s="30" t="n">
        <x:v>45</x:v>
      </x:c>
      <x:c r="B110" s="31" t="str">
        <x:v>已存在，不重複轉入</x:v>
      </x:c>
      <x:c r="C110" s="32" t="str">
        <x:v>kirby1215.tw 已有同名或高度相符文章。</x:v>
      </x:c>
      <x:c r="D110" s="33" t="str">
        <x:v>待決定</x:v>
      </x:c>
      <x:c r="E110" s="34" t="d">
        <x:v>2020-04-26T13:21:59.999Z</x:v>
      </x:c>
      <x:c r="F110" s="32" t="str">
        <x:v>在地化 2016-0630</x:v>
      </x:c>
      <x:c r="G110" s="32" t="str">
        <x:v>表哥</x:v>
      </x:c>
      <x:c r="H110" s="30" t="n">
        <x:v>0</x:v>
      </x:c>
      <x:c r="I110" s="30" t="n">
        <x:v>1</x:v>
      </x:c>
      <x:c r="J110" s="30" t="n">
        <x:v>1931</x:v>
      </x:c>
      <x:c r="K110" s="32" t="str">
        <x:v>無 YouTube</x:v>
      </x:c>
      <x:c r="L110" s="32" t="str">
        <x:v>回台灣之後，五月中開始找工作。除了在知名人力銀行填寫履歷，主動應徵喜歡的職務，也委託一家日商人力銀行幫我配對適合的工作。 日商人力銀行就我所知就有好幾家，規模有大有小。和台灣人力銀行不同的是，對方會先與委託人對談，確定興趣及語言能力後，才會協助尋找。我委託的人力銀行還要求我不得再去委託其他家。這些應該是因為日本人做事謹…</x:v>
      </x:c>
      <x:c r="M110" s="35" t="e">
        <x:f>HYPERLINK("https://tenristudy.blogspot.com/2020/04/blog-post_75.html","點這裡閱讀原文")</x:f>
        <x:v>HYPERLINK is not implemented. linkLocation=https://tenristudy.blogspot.com/2020/04/blog-post_75.html, friendlyName=點這裡閱讀原文</x:v>
      </x:c>
      <x:c r="N110" s="32" t="str">
        <x:v>content/archive/notes/window/window-2016-0630-c5a08f69.md</x:v>
      </x:c>
      <x:c r="O110" s="32" t="str"/>
    </x:row>
    <x:row r="111">
      <x:c r="A111" s="30" t="n">
        <x:v>46</x:v>
      </x:c>
      <x:c r="B111" s="31" t="str">
        <x:v>已存在，不重複轉入</x:v>
      </x:c>
      <x:c r="C111" s="32" t="str">
        <x:v>kirby1215.tw 已有同名或高度相符文章。</x:v>
      </x:c>
      <x:c r="D111" s="33" t="str">
        <x:v>待決定</x:v>
      </x:c>
      <x:c r="E111" s="34" t="d">
        <x:v>2020-04-26T13:24:00.000Z</x:v>
      </x:c>
      <x:c r="F111" s="32" t="str">
        <x:v>心念的力量 2016-0707</x:v>
      </x:c>
      <x:c r="G111" s="32" t="str">
        <x:v>表哥</x:v>
      </x:c>
      <x:c r="H111" s="30" t="n">
        <x:v>0</x:v>
      </x:c>
      <x:c r="I111" s="30" t="n">
        <x:v>1</x:v>
      </x:c>
      <x:c r="J111" s="30" t="n">
        <x:v>1395</x:v>
      </x:c>
      <x:c r="K111" s="32" t="str">
        <x:v>無 YouTube</x:v>
      </x:c>
      <x:c r="L111" s="32" t="str">
        <x:v>我和C先生，沒記錯的話是4年前回台灣的飛機上認識的。C先生和一位朋友，我們3人坐在一起。平常在台灣或日本我不太跟人搭訕，但在飛機上例外。因為飛機搭訕認識好幾個朋友，陳先生也是其中一位，之後只要回台灣都會找時間一起吃飯。 C先生每年都會撥出時間去日本。他的生父很早就過世，母親後來去日本嫁給了日本人。陳先生在成長的期間裡，…</x:v>
      </x:c>
      <x:c r="M111" s="35" t="e">
        <x:f>HYPERLINK("https://tenristudy.blogspot.com/2020/04/blog-post_55.html","點這裡閱讀原文")</x:f>
        <x:v>HYPERLINK is not implemented. linkLocation=https://tenristudy.blogspot.com/2020/04/blog-post_55.html, friendlyName=點這裡閱讀原文</x:v>
      </x:c>
      <x:c r="N111" s="32" t="str">
        <x:v>content/archive/notes/window/window-2016-0707-a17ce0cb.md</x:v>
      </x:c>
      <x:c r="O111" s="32" t="str"/>
    </x:row>
    <x:row r="112">
      <x:c r="A112" s="30" t="n">
        <x:v>47</x:v>
      </x:c>
      <x:c r="B112" s="31" t="str">
        <x:v>已存在，不重複轉入</x:v>
      </x:c>
      <x:c r="C112" s="32" t="str">
        <x:v>kirby1215.tw 已有同名或高度相符文章。</x:v>
      </x:c>
      <x:c r="D112" s="33" t="str">
        <x:v>待決定</x:v>
      </x:c>
      <x:c r="E112" s="34" t="d">
        <x:v>2020-04-26T13:26:00.000Z</x:v>
      </x:c>
      <x:c r="F112" s="32" t="str">
        <x:v>生活中的不變 2016-0715</x:v>
      </x:c>
      <x:c r="G112" s="32" t="str">
        <x:v>表哥</x:v>
      </x:c>
      <x:c r="H112" s="30" t="n">
        <x:v>0</x:v>
      </x:c>
      <x:c r="I112" s="30" t="n">
        <x:v>2</x:v>
      </x:c>
      <x:c r="J112" s="30" t="n">
        <x:v>1563</x:v>
      </x:c>
      <x:c r="K112" s="32" t="str">
        <x:v>無 YouTube</x:v>
      </x:c>
      <x:c r="L112" s="32" t="str">
        <x:v>星期日參加傳道廳的月次祭。照原本的習慣在10點左右才抵達，沒想到神殿後排的椅子都已經坐滿人。一起參拜的一行人便到樓下中庭，看大銀幕參加拜拜。 這天拜拜的時間中庭1/3左右的位子已經有人，修養科生分享感言時更已坐到8成。人數眾多，演講的聲音聽不清楚，廚房又端上一盤一盤坐餚，不禁想起當兵吃飯的時候，打完飯還是必須等所有人就…</x:v>
      </x:c>
      <x:c r="M112" s="35" t="e">
        <x:f>HYPERLINK("https://tenristudy.blogspot.com/2020/04/2016-0715.html","點這裡閱讀原文")</x:f>
        <x:v>HYPERLINK is not implemented. linkLocation=https://tenristudy.blogspot.com/2020/04/2016-0715.html, friendlyName=點這裡閱讀原文</x:v>
      </x:c>
      <x:c r="N112" s="32" t="str">
        <x:v>content/archive/notes/window/window-2016-0715-aa146ed3.md</x:v>
      </x:c>
      <x:c r="O112" s="32" t="str"/>
    </x:row>
    <x:row r="113">
      <x:c r="A113" s="30" t="n">
        <x:v>48</x:v>
      </x:c>
      <x:c r="B113" s="31" t="str">
        <x:v>已存在，不重複轉入</x:v>
      </x:c>
      <x:c r="C113" s="32" t="str">
        <x:v>kirby1215.tw 已有同名或高度相符文章。</x:v>
      </x:c>
      <x:c r="D113" s="33" t="str">
        <x:v>待決定</x:v>
      </x:c>
      <x:c r="E113" s="34" t="d">
        <x:v>2020-04-26T13:31:00.000Z</x:v>
      </x:c>
      <x:c r="F113" s="32" t="str">
        <x:v>榮總探病 2016-0721</x:v>
      </x:c>
      <x:c r="G113" s="32" t="str">
        <x:v>表哥</x:v>
      </x:c>
      <x:c r="H113" s="30" t="n">
        <x:v>0</x:v>
      </x:c>
      <x:c r="I113" s="30" t="n">
        <x:v>3</x:v>
      </x:c>
      <x:c r="J113" s="30" t="n">
        <x:v>1539</x:v>
      </x:c>
      <x:c r="K113" s="32" t="str">
        <x:v>無 YouTube</x:v>
      </x:c>
      <x:c r="L113" s="32" t="str">
        <x:v>上個禮拜第一次踏進台北榮總。從媒體和長輩口中常聽到，但一直沒有機會直接去醫院。這一天跟媽媽坐捷運到石牌站，在公車亭就看見一堆人在排隊等著搭榮總免費的接駁車。年輕人逛街，年紀大了逛醫院，說榮總是天母最有名的去處應該不過分，連外縣市的人都搶著要進去。 這天去榮總，為的是看幼稚園的園長。 園長從警察單位離職後，就在花蓮縣政府…</x:v>
      </x:c>
      <x:c r="M113" s="35" t="e">
        <x:f>HYPERLINK("https://tenristudy.blogspot.com/2020/04/2016-0721.html","點這裡閱讀原文")</x:f>
        <x:v>HYPERLINK is not implemented. linkLocation=https://tenristudy.blogspot.com/2020/04/2016-0721.html, friendlyName=點這裡閱讀原文</x:v>
      </x:c>
      <x:c r="N113" s="32" t="str">
        <x:v>content/archive/notes/window/window-2016-0721-80b2f0de.md</x:v>
      </x:c>
      <x:c r="O113" s="32" t="str"/>
    </x:row>
    <x:row r="114">
      <x:c r="A114" s="30" t="n">
        <x:v>49</x:v>
      </x:c>
      <x:c r="B114" s="31" t="str">
        <x:v>已存在，不重複轉入</x:v>
      </x:c>
      <x:c r="C114" s="32" t="str">
        <x:v>kirby1215.tw 已有同名或高度相符文章。</x:v>
      </x:c>
      <x:c r="D114" s="33" t="str">
        <x:v>待決定</x:v>
      </x:c>
      <x:c r="E114" s="34" t="d">
        <x:v>2020-04-26T13:32:00.000Z</x:v>
      </x:c>
      <x:c r="F114" s="32" t="str">
        <x:v>精舍見聞 2016-0811</x:v>
      </x:c>
      <x:c r="G114" s="32" t="str">
        <x:v>表哥</x:v>
      </x:c>
      <x:c r="H114" s="30" t="n">
        <x:v>0</x:v>
      </x:c>
      <x:c r="I114" s="30" t="n">
        <x:v>1</x:v>
      </x:c>
      <x:c r="J114" s="30" t="n">
        <x:v>1749</x:v>
      </x:c>
      <x:c r="K114" s="32" t="str">
        <x:v>無 YouTube</x:v>
      </x:c>
      <x:c r="L114" s="32" t="str">
        <x:v>上禮拜在台北找到工作，工作的地方是國內一家精密儀器公司。原本想找的是行政方面的工作，最後找到的是業務。上班一個多禮拜下來，每天的工作就是不斷的打電話。從宗教團體打到學校，再打到研究單位，依產品不同，適用性不同，講話方式和內容也必須跟著做調整。有時候一整天下來只有2、3個人對公司產品有點興趣，感覺就像在挨家挨戶按電鈴傳教…</x:v>
      </x:c>
      <x:c r="M114" s="35" t="e">
        <x:f>HYPERLINK("https://tenristudy.blogspot.com/2020/04/2016-0811.html","點這裡閱讀原文")</x:f>
        <x:v>HYPERLINK is not implemented. linkLocation=https://tenristudy.blogspot.com/2020/04/2016-0811.html, friendlyName=點這裡閱讀原文</x:v>
      </x:c>
      <x:c r="N114" s="32" t="str">
        <x:v>content/archive/notes/window/window-2016-0811-d375add1.md</x:v>
      </x:c>
      <x:c r="O114" s="32" t="str"/>
    </x:row>
    <x:row r="115">
      <x:c r="A115" s="30" t="n">
        <x:v>50</x:v>
      </x:c>
      <x:c r="B115" s="31" t="str">
        <x:v>已存在，不重複轉入</x:v>
      </x:c>
      <x:c r="C115" s="32" t="str">
        <x:v>kirby1215.tw 已有同名或高度相符文章。</x:v>
      </x:c>
      <x:c r="D115" s="33" t="str">
        <x:v>待決定</x:v>
      </x:c>
      <x:c r="E115" s="34" t="d">
        <x:v>2020-04-26T13:33:00.000Z</x:v>
      </x:c>
      <x:c r="F115" s="32" t="str">
        <x:v>繞遠路 2016-0828</x:v>
      </x:c>
      <x:c r="G115" s="32" t="str">
        <x:v>表哥</x:v>
      </x:c>
      <x:c r="H115" s="30" t="n">
        <x:v>0</x:v>
      </x:c>
      <x:c r="I115" s="30" t="n">
        <x:v>1</x:v>
      </x:c>
      <x:c r="J115" s="30" t="n">
        <x:v>1369</x:v>
      </x:c>
      <x:c r="K115" s="32" t="str">
        <x:v>無 YouTube</x:v>
      </x:c>
      <x:c r="L115" s="32" t="str">
        <x:v>到公司上班也快要一個月了。到這個年紀才開始踏入社會上班，雖然起步有些辛苦，有許多還沒習慣的地方，但能夠逍遙到現在要感謝的實在太多。 和過去做翻譯不同，現在的工作要不斷打電話向客戶推銷公司產品。我最想問的是，是不是以前很不喜歡去挨家挨戶按電鈴播香，所以才給我這個考驗？ 由於是介紹精密儀器，去電的對象主要是學校及研究機構。…</x:v>
      </x:c>
      <x:c r="M115" s="35" t="e">
        <x:f>HYPERLINK("https://tenristudy.blogspot.com/2020/04/2016-0828.html","點這裡閱讀原文")</x:f>
        <x:v>HYPERLINK is not implemented. linkLocation=https://tenristudy.blogspot.com/2020/04/2016-0828.html, friendlyName=點這裡閱讀原文</x:v>
      </x:c>
      <x:c r="N115" s="32" t="str">
        <x:v>content/archive/notes/window/window-2016-0828-10c4e361.md</x:v>
      </x:c>
      <x:c r="O115" s="32" t="str"/>
    </x:row>
    <x:row r="116">
      <x:c r="A116" s="30" t="n">
        <x:v>51</x:v>
      </x:c>
      <x:c r="B116" s="31" t="str">
        <x:v>已存在，不重複轉入</x:v>
      </x:c>
      <x:c r="C116" s="32" t="str">
        <x:v>kirby1215.tw 已有同名或高度相符文章。</x:v>
      </x:c>
      <x:c r="D116" s="33" t="str">
        <x:v>待決定</x:v>
      </x:c>
      <x:c r="E116" s="34" t="d">
        <x:v>2020-04-26T13:34:00.000Z</x:v>
      </x:c>
      <x:c r="F116" s="32" t="str">
        <x:v>學習教理 2016-0927</x:v>
      </x:c>
      <x:c r="G116" s="32" t="str">
        <x:v>表哥</x:v>
      </x:c>
      <x:c r="H116" s="30" t="n">
        <x:v>0</x:v>
      </x:c>
      <x:c r="I116" s="30" t="n">
        <x:v>2</x:v>
      </x:c>
      <x:c r="J116" s="30" t="n">
        <x:v>2256</x:v>
      </x:c>
      <x:c r="K116" s="32" t="str">
        <x:v>無 YouTube</x:v>
      </x:c>
      <x:c r="L116" s="32" t="str">
        <x:v>Nino來到我們家算起來已經有15個年頭了。原本牠是姐姐大學學弟買給女友的貓。取叫Nino是因為當時有部片子男主角叫Nino(艾蜜麗的異想世界)。幾個月後兩人分手，女方把貓送回。學弟養之無味，就送給姐姐。 身為名貴的金吉拉，Nino出生以後又都住在台北，原本住在公寓裡被嬌生慣養。後來姐姐忙就把牠帶回花蓮，從此以後牠就在…</x:v>
      </x:c>
      <x:c r="M116" s="35" t="e">
        <x:f>HYPERLINK("https://tenristudy.blogspot.com/2020/04/2016-0927.html","點這裡閱讀原文")</x:f>
        <x:v>HYPERLINK is not implemented. linkLocation=https://tenristudy.blogspot.com/2020/04/2016-0927.html, friendlyName=點這裡閱讀原文</x:v>
      </x:c>
      <x:c r="N116" s="32" t="str">
        <x:v>content/archive/notes/window/window-2016-0927-fc640b4f.md</x:v>
      </x:c>
      <x:c r="O116" s="32" t="str"/>
    </x:row>
    <x:row r="117">
      <x:c r="A117" s="30" t="n">
        <x:v>52</x:v>
      </x:c>
      <x:c r="B117" s="31" t="str">
        <x:v>已存在，不重複轉入</x:v>
      </x:c>
      <x:c r="C117" s="32" t="str">
        <x:v>kirby1215.tw 已有同名或高度相符文章。</x:v>
      </x:c>
      <x:c r="D117" s="33" t="str">
        <x:v>待決定</x:v>
      </x:c>
      <x:c r="E117" s="34" t="d">
        <x:v>2020-04-26T13:34:59.999Z</x:v>
      </x:c>
      <x:c r="F117" s="32" t="str">
        <x:v>給轉生者的祝福 2016-1121</x:v>
      </x:c>
      <x:c r="G117" s="32" t="str">
        <x:v>表哥</x:v>
      </x:c>
      <x:c r="H117" s="30" t="n">
        <x:v>0</x:v>
      </x:c>
      <x:c r="I117" s="30" t="n">
        <x:v>1</x:v>
      </x:c>
      <x:c r="J117" s="30" t="n">
        <x:v>1491</x:v>
      </x:c>
      <x:c r="K117" s="32" t="str">
        <x:v>無 YouTube</x:v>
      </x:c>
      <x:c r="L117" s="32" t="str">
        <x:v>十月底接到母親來電，說媽媽那邊的一位表哥已經住進加護病房，情況並不樂觀，從住院以來都沒有醒來過。過去2年，我已經經歷好幾次好友往生，聽到這個消息的瞬間，最想問的問題是：「怎麼又來了？」。 雖說是表哥，也有十幾年沒見面了。媽媽是十個兄弟姐妹中的么女，和哥哥姐姐年紀差很多，我和媽媽這邊的親戚平常往來並不密切。但記得表哥的父…</x:v>
      </x:c>
      <x:c r="M117" s="35" t="e">
        <x:f>HYPERLINK("https://tenristudy.blogspot.com/2020/04/2016-1121.html","點這裡閱讀原文")</x:f>
        <x:v>HYPERLINK is not implemented. linkLocation=https://tenristudy.blogspot.com/2020/04/2016-1121.html, friendlyName=點這裡閱讀原文</x:v>
      </x:c>
      <x:c r="N117" s="32" t="str">
        <x:v>content/archive/notes/window/window-2016-1121-f24a5dfa.md</x:v>
      </x:c>
      <x:c r="O117" s="32" t="str"/>
    </x:row>
    <x:row r="118">
      <x:c r="A118" s="30" t="n">
        <x:v>53</x:v>
      </x:c>
      <x:c r="B118" s="31" t="str">
        <x:v>已存在，不重複轉入</x:v>
      </x:c>
      <x:c r="C118" s="32" t="str">
        <x:v>kirby1215.tw 已有同名或高度相符文章。</x:v>
      </x:c>
      <x:c r="D118" s="33" t="str">
        <x:v>待決定</x:v>
      </x:c>
      <x:c r="E118" s="34" t="d">
        <x:v>2020-04-26T13:46:00.000Z</x:v>
      </x:c>
      <x:c r="F118" s="32" t="str">
        <x:v>01、天理教教典解説　第六章　「神引」序章（中国語）</x:v>
      </x:c>
      <x:c r="G118" s="32" t="str">
        <x:v>影音</x:v>
      </x:c>
      <x:c r="H118" s="30" t="n">
        <x:v>1</x:v>
      </x:c>
      <x:c r="I118" s="30" t="n">
        <x:v>0</x:v>
      </x:c>
      <x:c r="J118" s="30" t="n">
        <x:v>0</x:v>
      </x:c>
      <x:c r="K118" s="32" t="str">
        <x:v>YouTube 1個：轉入時改用 youtube-nocookie.com 響應式播放器</x:v>
      </x:c>
      <x:c r="L118" s="32" t="str"/>
      <x:c r="M118" s="35" t="e">
        <x:f>HYPERLINK("https://tenristudy.blogspot.com/2020/04/01.html","點這裡閱讀原文")</x:f>
        <x:v>HYPERLINK is not implemented. linkLocation=https://tenristudy.blogspot.com/2020/04/01.html, friendlyName=點這裡閱讀原文</x:v>
      </x:c>
      <x:c r="N118" s="32" t="str">
        <x:v>content/doctrine/teaching-doctrine-ch-6-d5915ac4.md</x:v>
      </x:c>
      <x:c r="O118" s="32" t="str"/>
    </x:row>
    <x:row r="119">
      <x:c r="A119" s="30" t="n">
        <x:v>54</x:v>
      </x:c>
      <x:c r="B119" s="31" t="str">
        <x:v>已存在，不重複轉入</x:v>
      </x:c>
      <x:c r="C119" s="32" t="str">
        <x:v>kirby1215.tw 已有同名或高度相符文章。</x:v>
      </x:c>
      <x:c r="D119" s="33" t="str">
        <x:v>待決定</x:v>
      </x:c>
      <x:c r="E119" s="34" t="d">
        <x:v>2020-04-29T14:03:00.000Z</x:v>
      </x:c>
      <x:c r="F119" s="32" t="str">
        <x:v>天理教的啟示書『御筆先』</x:v>
      </x:c>
      <x:c r="G119" s="32" t="str">
        <x:v>御筆先導讀</x:v>
      </x:c>
      <x:c r="H119" s="30" t="n">
        <x:v>0</x:v>
      </x:c>
      <x:c r="I119" s="30" t="n">
        <x:v>0</x:v>
      </x:c>
      <x:c r="J119" s="30" t="n">
        <x:v>1393</x:v>
      </x:c>
      <x:c r="K119" s="32" t="str">
        <x:v>無 YouTube</x:v>
      </x:c>
      <x:c r="L119" s="32" t="str">
        <x:v>原文作者 芹澤茂 『御筆先』是教祖從七十二歲 ( １８６９年 ) 到八十五歲 ( １８８２年 ) 的期間所寫。教祖從四十 一歲 ( １８３８年 ) 到九十歲 ( １８８７年 ) 五十年生涯中最重要的時期，除了御筆先以外，一切文字記錄的執筆及閱讀都被父母神禁止。 ( 教祖寫下的東西除御筆先之外都不存在。 ) 因此，父母神…</x:v>
      </x:c>
      <x:c r="M119" s="35" t="e">
        <x:f>HYPERLINK("https://tenristudy.blogspot.com/2020/04/blog-post_29.html","點這裡閱讀原文")</x:f>
        <x:v>HYPERLINK is not implemented. linkLocation=https://tenristudy.blogspot.com/2020/04/blog-post_29.html, friendlyName=點這裡閱讀原文</x:v>
      </x:c>
      <x:c r="N119" s="32" t="str">
        <x:v>content/posts/天理教的啟示書『御筆先』.md</x:v>
      </x:c>
      <x:c r="O119" s="32" t="str"/>
    </x:row>
    <x:row r="120">
      <x:c r="A120" s="30" t="n">
        <x:v>56</x:v>
      </x:c>
      <x:c r="B120" s="31" t="str">
        <x:v>已存在，不重複轉入</x:v>
      </x:c>
      <x:c r="C120" s="32" t="str">
        <x:v>kirby1215.tw 已有同名或高度相符文章。</x:v>
      </x:c>
      <x:c r="D120" s="33" t="str">
        <x:v>待決定</x:v>
      </x:c>
      <x:c r="E120" s="34" t="d">
        <x:v>2020-05-17T13:56:00.000Z</x:v>
      </x:c>
      <x:c r="F120" s="32" t="str">
        <x:v>御筆先的特色與時空背景</x:v>
      </x:c>
      <x:c r="G120" s="32" t="str"/>
      <x:c r="H120" s="30" t="n">
        <x:v>0</x:v>
      </x:c>
      <x:c r="I120" s="30" t="n">
        <x:v>0</x:v>
      </x:c>
      <x:c r="J120" s="30" t="n">
        <x:v>4793</x:v>
      </x:c>
      <x:c r="K120" s="32" t="str">
        <x:v>無 YouTube</x:v>
      </x:c>
      <x:c r="L120" s="32" t="str">
        <x:v>譯自 矢持辰三 『御筆先拜讀入門』序 一 天理教原典的中心 御筆先 能夠被世人認同、經過時間考驗更加綻放光彩的宗教一定有原典。但何為原典呢？原 典是記載教導信徒日常生活之準則的書。例如日本神道的古事記及日本書記，佛教的經典， 基督教的聖經，回教的可蘭經等原典。 天理教以『御筆先』、『神樂歌』、『御指圖』作為信仰生活的基…</x:v>
      </x:c>
      <x:c r="M120" s="35" t="e">
        <x:f>HYPERLINK("https://tenristudy.blogspot.com/2020/05/blog-post_17.html","點這裡閱讀原文")</x:f>
        <x:v>HYPERLINK is not implemented. linkLocation=https://tenristudy.blogspot.com/2020/05/blog-post_17.html, friendlyName=點這裡閱讀原文</x:v>
      </x:c>
      <x:c r="N120" s="32" t="str">
        <x:v>content/posts/御筆先的特色與時空背景.md</x:v>
      </x:c>
      <x:c r="O120" s="32" t="str"/>
    </x:row>
    <x:row r="121">
      <x:c r="A121" s="30" t="n">
        <x:v>73</x:v>
      </x:c>
      <x:c r="B121" s="31" t="str">
        <x:v>已存在，不重複轉入</x:v>
      </x:c>
      <x:c r="C121" s="32" t="str">
        <x:v>kirby1215.tw 已有同名或高度相符文章。</x:v>
      </x:c>
      <x:c r="D121" s="33" t="str">
        <x:v>待決定</x:v>
      </x:c>
      <x:c r="E121" s="34" t="d">
        <x:v>2020-05-20T13:55:00.000Z</x:v>
      </x:c>
      <x:c r="F121" s="32" t="str">
        <x:v>先賢紀念堂</x:v>
      </x:c>
      <x:c r="G121" s="32" t="str"/>
      <x:c r="H121" s="30" t="n">
        <x:v>0</x:v>
      </x:c>
      <x:c r="I121" s="30" t="n">
        <x:v>11</x:v>
      </x:c>
      <x:c r="J121" s="30" t="n">
        <x:v>206</x:v>
      </x:c>
      <x:c r="K121" s="32" t="str">
        <x:v>無 YouTube</x:v>
      </x:c>
      <x:c r="L121" s="32" t="str">
        <x:v>這是天理教日本本部設立 的&lt;先賢記念堂&gt;。 位於嘉義 東門分教會加藤會長負責管理 依照片顺序， 大門進去停車場， 往内走經拱門， 兩侧是花園和廣場。 2層日式建築， 内有祖靈殿 兩侧和二楼共有3000多個塔位 設有保全，不對一般人開放。 元旦，農曆年，清明節都有舉行祭靈儀式，有開放時間。平常祭拜饌供，打掃由聖勞者負責。…</x:v>
      </x:c>
      <x:c r="M121" s="35" t="e">
        <x:f>HYPERLINK("https://tenristudy.blogspot.com/2020/05/blog-post_20.html","點這裡閱讀原文")</x:f>
        <x:v>HYPERLINK is not implemented. linkLocation=https://tenristudy.blogspot.com/2020/05/blog-post_20.html, friendlyName=點這裡閱讀原文</x:v>
      </x:c>
      <x:c r="N121" s="32" t="str">
        <x:v>content/archive/chinese-tenri/2001-2005/article-chi-article-ch81-news1-38f6bfb2.md</x:v>
      </x:c>
      <x:c r="O121" s="32" t="str"/>
    </x:row>
    <x:row r="122">
      <x:c r="A122" s="30" t="n">
        <x:v>96</x:v>
      </x:c>
      <x:c r="B122" s="31" t="str">
        <x:v>已存在，不重複轉入</x:v>
      </x:c>
      <x:c r="C122" s="32" t="str">
        <x:v>kirby1215.tw 已有同名或高度相符文章。</x:v>
      </x:c>
      <x:c r="D122" s="33" t="str">
        <x:v>待決定</x:v>
      </x:c>
      <x:c r="E122" s="34" t="d">
        <x:v>2020-09-20T13:54:00.000Z</x:v>
      </x:c>
      <x:c r="F122" s="32" t="str">
        <x:v>以人為目標嗎</x:v>
      </x:c>
      <x:c r="G122" s="32" t="str">
        <x:v>群組記事本</x:v>
      </x:c>
      <x:c r="H122" s="30" t="n">
        <x:v>0</x:v>
      </x:c>
      <x:c r="I122" s="30" t="n">
        <x:v>0</x:v>
      </x:c>
      <x:c r="J122" s="30" t="n">
        <x:v>304</x:v>
      </x:c>
      <x:c r="K122" s="32" t="str">
        <x:v>無 YouTube</x:v>
      </x:c>
      <x:c r="L122" s="32" t="str">
        <x:v>黄登洲會長 2020/01/01 新的一年 萬象復始 日日實踐康樂生活 立教182年(2019年)12月26日，天理教道友社發行了一本「生活良言・天理教教祖的教導」的日暦。這是一本選自「稿本天理教教祖傳逸話篇」中之語句，並加註解說的日暦。新的一年之開始，將其譯成中文供大家分享，並祈能審視自身，以日日實踐康樂生活。 「要…</x:v>
      </x:c>
      <x:c r="M122" s="35" t="e">
        <x:f>HYPERLINK("https://tenristudy.blogspot.com/2020/09/blog-post_72.html","點這裡閱讀原文")</x:f>
        <x:v>HYPERLINK is not implemented. linkLocation=https://tenristudy.blogspot.com/2020/09/blog-post_72.html, friendlyName=點這裡閱讀原文</x:v>
      </x:c>
      <x:c r="N122" s="32" t="str">
        <x:v>content/itsuwa/123.md</x:v>
      </x:c>
      <x:c r="O122" s="32" t="str"/>
    </x:row>
    <x:row r="123">
      <x:c r="A123" s="30" t="n">
        <x:v>113</x:v>
      </x:c>
      <x:c r="B123" s="31" t="str">
        <x:v>已存在，不重複轉入</x:v>
      </x:c>
      <x:c r="C123" s="32" t="str">
        <x:v>kirby1215.tw 已有同名或高度相符文章。</x:v>
      </x:c>
      <x:c r="D123" s="33" t="str">
        <x:v>待決定</x:v>
      </x:c>
      <x:c r="E123" s="34" t="d">
        <x:v>2021-04-20T02:48:59.999Z</x:v>
      </x:c>
      <x:c r="F123" s="32" t="str">
        <x:v>「逸話篇 六三　無形的德惠」(黃登洲會長譯)</x:v>
      </x:c>
      <x:c r="G123" s="32" t="str">
        <x:v>影音</x:v>
      </x:c>
      <x:c r="H123" s="30" t="n">
        <x:v>1</x:v>
      </x:c>
      <x:c r="I123" s="30" t="n">
        <x:v>0</x:v>
      </x:c>
      <x:c r="J123" s="30" t="n">
        <x:v>2819</x:v>
      </x:c>
      <x:c r="K123" s="32" t="str">
        <x:v>YouTube 1個：轉入時改用 youtube-nocookie.com 響應式播放器</x:v>
      </x:c>
      <x:c r="L123" s="32" t="str">
        <x:v>譯自：茶木谷吉信 著 「活用於世界拯救之教祖逸話」 (影片為最近依據文章內容改編，與文章並非完全一致) 是二選一的提問嗎？ 今天報紙中也夾雜著店家的廣告宣傳單，登載著很多可買到便宜貨的訊息。日常用品、食材等日常必需品，甚至是認為持有的話即很方便的電器用品，及從前就想要的衣服或鞋子等。光是看到這些東西就感到高興，無論哪一…</x:v>
      </x:c>
      <x:c r="M123" s="35" t="e">
        <x:f>HYPERLINK("https://tenristudy.blogspot.com/2021/04/blog-post_20.html","點這裡閱讀原文")</x:f>
        <x:v>HYPERLINK is not implemented. linkLocation=https://tenristudy.blogspot.com/2021/04/blog-post_20.html, friendlyName=點這裡閱讀原文</x:v>
      </x:c>
      <x:c r="N123" s="32" t="str">
        <x:v>content/itsuwa/063.md</x:v>
      </x:c>
      <x:c r="O123" s="32" t="str"/>
    </x:row>
    <x:row r="124">
      <x:c r="A124" s="30" t="n">
        <x:v>114</x:v>
      </x:c>
      <x:c r="B124" s="31" t="str">
        <x:v>已存在，不重複轉入</x:v>
      </x:c>
      <x:c r="C124" s="32" t="str">
        <x:v>kirby1215.tw 已有同名或高度相符文章。</x:v>
      </x:c>
      <x:c r="D124" s="33" t="str">
        <x:v>待決定</x:v>
      </x:c>
      <x:c r="E124" s="34" t="d">
        <x:v>2021-04-25T13:46:00.000Z</x:v>
      </x:c>
      <x:c r="F124" s="32" t="str">
        <x:v>「逸話篇 七八　富足的宅院」</x:v>
      </x:c>
      <x:c r="G124" s="32" t="str">
        <x:v>影音</x:v>
      </x:c>
      <x:c r="H124" s="30" t="n">
        <x:v>1</x:v>
      </x:c>
      <x:c r="I124" s="30" t="n">
        <x:v>0</x:v>
      </x:c>
      <x:c r="J124" s="30" t="n">
        <x:v>2894</x:v>
      </x:c>
      <x:c r="K124" s="32" t="str">
        <x:v>YouTube 1個：轉入時改用 youtube-nocookie.com 響應式播放器</x:v>
      </x:c>
      <x:c r="L124" s="32" t="str">
        <x:v>黃登洲會長譯自：茶木谷吉信 著 「活用於世界拯救之教祖逸話」(影片為近期製作，與原文並非完全一致) 高中時代的「幸福討論」 高中生的時代，偶然的機會和友人們進行了幸福的討論會。是以什麼作為幸福呢？現在回想起來，是一個象徵年輕人的幼稚議論吧！ 我主張「我認為並不是有錢才是幸福」。由於我是生長在教會，與一般家庭相較下，在金…</x:v>
      </x:c>
      <x:c r="M124" s="35" t="e">
        <x:f>HYPERLINK("https://tenristudy.blogspot.com/2021/04/blog-post_25.html","點這裡閱讀原文")</x:f>
        <x:v>HYPERLINK is not implemented. linkLocation=https://tenristudy.blogspot.com/2021/04/blog-post_25.html, friendlyName=點這裡閱讀原文</x:v>
      </x:c>
      <x:c r="N124" s="32" t="str">
        <x:v>content/itsuwa/078.md</x:v>
      </x:c>
      <x:c r="O124" s="32" t="str"/>
    </x:row>
    <x:row r="125">
      <x:c r="A125" s="30" t="n">
        <x:v>116</x:v>
      </x:c>
      <x:c r="B125" s="31" t="str">
        <x:v>已存在，不重複轉入</x:v>
      </x:c>
      <x:c r="C125" s="32" t="str">
        <x:v>kirby1215.tw 已有同名或高度相符文章。</x:v>
      </x:c>
      <x:c r="D125" s="33" t="str">
        <x:v>待決定</x:v>
      </x:c>
      <x:c r="E125" s="34" t="d">
        <x:v>2021-05-12T14:38:00.000Z</x:v>
      </x:c>
      <x:c r="F125" s="32" t="str">
        <x:v>「逸話篇 一三〇　細微的灰塵」</x:v>
      </x:c>
      <x:c r="G125" s="32" t="str">
        <x:v>影音</x:v>
      </x:c>
      <x:c r="H125" s="30" t="n">
        <x:v>1</x:v>
      </x:c>
      <x:c r="I125" s="30" t="n">
        <x:v>0</x:v>
      </x:c>
      <x:c r="J125" s="30" t="n">
        <x:v>3176</x:v>
      </x:c>
      <x:c r="K125" s="32" t="str">
        <x:v>YouTube 1個：轉入時改用 youtube-nocookie.com 響應式播放器</x:v>
      </x:c>
      <x:c r="L125" s="32" t="str">
        <x:v>(黃登洲會長翻譯及字幕) 罹癌者接二連三轉生的日子 作為會長來到現在的教會上任，是我 23 歳又 8 個月的時候。連左右方向都還摸不清楚，甚至連講社祭的進行方式也不怎麼熟悉。當然也還是單身，與當時住在教會的老教友的一位老太太，每天過著必須自己準備兩人份飯菜的生活。 剛上任時，馬上就有兩位癌症的病人。立刻為他們進行拯救，…</x:v>
      </x:c>
      <x:c r="M125" s="35" t="e">
        <x:f>HYPERLINK("https://tenristudy.blogspot.com/2021/05/blog-post_12.html","點這裡閱讀原文")</x:f>
        <x:v>HYPERLINK is not implemented. linkLocation=https://tenristudy.blogspot.com/2021/05/blog-post_12.html, friendlyName=點這裡閱讀原文</x:v>
      </x:c>
      <x:c r="N125" s="32" t="str">
        <x:v>content/itsuwa/130.md</x:v>
      </x:c>
      <x:c r="O125" s="32" t="str"/>
    </x:row>
    <x:row r="126">
      <x:c r="A126" s="36" t="n">
        <x:v>118</x:v>
      </x:c>
      <x:c r="B126" s="37" t="str">
        <x:v>已存在，不重複轉入</x:v>
      </x:c>
      <x:c r="C126" s="38" t="str">
        <x:v>kirby1215.tw 已有同名或高度相符文章。</x:v>
      </x:c>
      <x:c r="D126" s="39" t="str">
        <x:v>待決定</x:v>
      </x:c>
      <x:c r="E126" s="40" t="d">
        <x:v>2021-06-10T06:42:00.000Z</x:v>
      </x:c>
      <x:c r="F126" s="38" t="str">
        <x:v>「逸話篇一五八　月事恰如花」</x:v>
      </x:c>
      <x:c r="G126" s="38" t="str">
        <x:v>影音</x:v>
      </x:c>
      <x:c r="H126" s="36" t="n">
        <x:v>1</x:v>
      </x:c>
      <x:c r="I126" s="36" t="n">
        <x:v>0</x:v>
      </x:c>
      <x:c r="J126" s="36" t="n">
        <x:v>2999</x:v>
      </x:c>
      <x:c r="K126" s="38" t="str">
        <x:v>YouTube 1個：轉入時改用 youtube-nocookie.com 響應式播放器</x:v>
      </x:c>
      <x:c r="L126" s="38" t="str">
        <x:v>為什麼譲女性成為「不淨」呢 黃登洲會長譯自：茶木谷吉信 著 「活用於世界拯救之教祖逸話」 我以前曾經擔任玉名市的男女共同參劃審議會（性別平等會）的會長。 雖說最近好不容易地，對於性別平等社會的理解漸漸加深，然而社會上對於女性的差別制度或慣行還是餘留著。在行政方面，雖然對於管理職務上女性的比率，製定了具體的數値目標與半強…</x:v>
      </x:c>
      <x:c r="M126" s="41" t="e">
        <x:f>HYPERLINK("https://tenristudy.blogspot.com/2021/06/blog-post.html","點這裡閱讀原文")</x:f>
        <x:v>HYPERLINK is not implemented. linkLocation=https://tenristudy.blogspot.com/2021/06/blog-post.html, friendlyName=點這裡閱讀原文</x:v>
      </x:c>
      <x:c r="N126" s="38" t="str">
        <x:v>content/itsuwa/158.md</x:v>
      </x:c>
      <x:c r="O126" s="38" t="str"/>
    </x:row>
  </x:sheetData>
  <x:mergeCells>
    <x:mergeCell ref="A2:O2"/>
    <x:mergeCell ref="A3:O3"/>
  </x:mergeCells>
  <x:conditionalFormatting sqref="B9:B126">
    <x:cfRule type="containsText" dxfId="0" priority="1" operator="containsText" text="優先轉入"/>
    <x:cfRule type="containsText" dxfId="1" priority="2" operator="containsText" text="可選轉入"/>
    <x:cfRule type="containsText" dxfId="2" priority="3" operator="containsText" text="暫不轉入"/>
    <x:cfRule type="containsText" dxfId="3" priority="4" operator="containsText" text="已存在"/>
  </x:conditionalFormatting>
  <x:dataValidations count="1">
    <x:dataValidation type="list" sqref="D9:D126">
      <x:formula1>"待決定,發佈,不發佈"</x:formula1>
    </x:dataValidation>
  </x:dataValidations>
  <x:pageMargins left="0.7" right="0.7" top="0.75" bottom="0.75" header="0.3" footer="0.3"/>
  <x:tableParts count="1">
    <x:tablePart xmlns:r="http://schemas.openxmlformats.org/officeDocument/2006/relationships" r:id="Rbdb3b210d23c4fcb"/>
  </x:tableParts>
</x:worksheet>
</file>